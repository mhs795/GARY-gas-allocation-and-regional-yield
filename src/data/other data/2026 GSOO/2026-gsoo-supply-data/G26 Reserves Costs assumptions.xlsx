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mclaren\Downloads\2026 Gas Statement of Opportunities Supply Data\2026 Gas Statement of Opportunities Supply Data\"/>
    </mc:Choice>
  </mc:AlternateContent>
  <xr:revisionPtr revIDLastSave="0" documentId="13_ncr:1_{22A89AF9-C920-4284-970E-2B23CCDD42CA}" xr6:coauthVersionLast="47" xr6:coauthVersionMax="47" xr10:uidLastSave="{00000000-0000-0000-0000-000000000000}"/>
  <bookViews>
    <workbookView xWindow="-120" yWindow="-120" windowWidth="29040" windowHeight="15720" tabRatio="685" xr2:uid="{98A13F6B-D6F6-48C3-9BA5-24A7CF2B817A}"/>
  </bookViews>
  <sheets>
    <sheet name="Contents and Overview" sheetId="2" r:id="rId1"/>
    <sheet name="Disclaimer" sheetId="10" r:id="rId2"/>
    <sheet name="Measures, Acronyms &amp; Glossary" sheetId="39" r:id="rId3"/>
    <sheet name="Reserves and Resources" sheetId="23" r:id="rId4"/>
    <sheet name="Production Costs" sheetId="21" r:id="rId5"/>
    <sheet name="Pipeline Transmission Tariffs" sheetId="1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5" l="1"/>
  <c r="F6" i="15" s="1"/>
  <c r="G6" i="15" s="1"/>
  <c r="H6" i="15" s="1"/>
  <c r="I6" i="15" s="1"/>
  <c r="J6" i="15" s="1"/>
  <c r="K6" i="15" s="1"/>
  <c r="L6" i="15" s="1"/>
  <c r="M6" i="15" s="1"/>
  <c r="N6" i="15" s="1"/>
  <c r="O6" i="15" s="1"/>
  <c r="P6" i="15" s="1"/>
  <c r="Q6" i="15" s="1"/>
  <c r="R6" i="15" s="1"/>
  <c r="S6" i="15" s="1"/>
  <c r="T6" i="15" s="1"/>
  <c r="U6" i="15" s="1"/>
  <c r="V6" i="15" s="1"/>
  <c r="W6" i="15" s="1"/>
  <c r="D18" i="23" l="1"/>
  <c r="C18" i="23"/>
</calcChain>
</file>

<file path=xl/sharedStrings.xml><?xml version="1.0" encoding="utf-8"?>
<sst xmlns="http://schemas.openxmlformats.org/spreadsheetml/2006/main" count="149" uniqueCount="110">
  <si>
    <t>Contents</t>
  </si>
  <si>
    <t>Disclaimer</t>
  </si>
  <si>
    <t>Important notice and disclaimer.</t>
  </si>
  <si>
    <t>Measures, Acronyms &amp; Glossary</t>
  </si>
  <si>
    <t>List of measures used in the database.</t>
  </si>
  <si>
    <t>Reserves and resources</t>
  </si>
  <si>
    <t>Reserves and resources for each supply area.</t>
  </si>
  <si>
    <t>Production costs</t>
  </si>
  <si>
    <t>Cost of production from each supply area.</t>
  </si>
  <si>
    <t>Pipeline transmission tariffs</t>
  </si>
  <si>
    <t>Transmission tariffs for each major pipeline in the GSOO model.</t>
  </si>
  <si>
    <t>Overview</t>
  </si>
  <si>
    <t>http://aemo.com.au/Gas/National-planning-and-forecasting/Gas-Statement-of-Opportunities</t>
  </si>
  <si>
    <t>Note this document is subject to an important disclaimer which limits and/or excludes AEMO’s liability for reliance on the information in it.</t>
  </si>
  <si>
    <t>Please read the full disclaimer at the 'Disclaimer' tab of this workbook.</t>
  </si>
  <si>
    <t>Data sources</t>
  </si>
  <si>
    <t>Input</t>
  </si>
  <si>
    <t>Source</t>
  </si>
  <si>
    <t>Gas industry participants via Gas Bulletin Board (GBB)</t>
  </si>
  <si>
    <t>Rystad Energy, previous GSOO inputs and publicly available data</t>
  </si>
  <si>
    <t>Gas industry participants and publicly available data</t>
  </si>
  <si>
    <t>Version history</t>
  </si>
  <si>
    <t>Version</t>
  </si>
  <si>
    <t>Summary of Changes</t>
  </si>
  <si>
    <t>Effective Date</t>
  </si>
  <si>
    <t>First issue.</t>
  </si>
  <si>
    <t>Important Notice</t>
  </si>
  <si>
    <t>Purpose</t>
  </si>
  <si>
    <t>This data file contains input from third parties, and conclusions, opinions or assumptions that are based on that input.</t>
  </si>
  <si>
    <t xml:space="preserve">AEMO has made reasonable efforts to ensure the quality of the information in this publication but cannot guarantee that information, forecasts and assumptions are accurate, complete or appropriate for your circumstances. </t>
  </si>
  <si>
    <t>Accordingly, to the maximum extent permitted by law, AEMO and its officers, employees and consultants involved in the preparation of this document:</t>
  </si>
  <si>
    <t xml:space="preserve">Acknowledgement </t>
  </si>
  <si>
    <t>AEMO acknowledges the support, co-operation and contribution of all participants in providing data and information used in this publication.</t>
  </si>
  <si>
    <t xml:space="preserve">Copyright </t>
  </si>
  <si>
    <t>Units of Measure</t>
  </si>
  <si>
    <t>Abbreviation</t>
  </si>
  <si>
    <t>Unit of Measure</t>
  </si>
  <si>
    <t>GJ</t>
  </si>
  <si>
    <t>Gigajoule</t>
  </si>
  <si>
    <t>PJ</t>
  </si>
  <si>
    <t>Petajoule</t>
  </si>
  <si>
    <t>Glossary</t>
  </si>
  <si>
    <t>Term</t>
  </si>
  <si>
    <t>Meaning</t>
  </si>
  <si>
    <t>2C</t>
  </si>
  <si>
    <t>Best estimate of contingent resources</t>
  </si>
  <si>
    <t>2P reserves</t>
  </si>
  <si>
    <t>The sum of proved-plus-probable estimates of gas resources. The best estimate of commercially recoverable reserves. Often used as the basis for reports to share markets, gas contracts, and project economic justification.</t>
  </si>
  <si>
    <t>Reserves and Resources</t>
  </si>
  <si>
    <t>For the GSOO modelling, AEMO used reserve and resource numbers from the Gas Bulletin Board (GBB). The summary of reserves and resource volumes is provided in the table below.</t>
  </si>
  <si>
    <t>Basin</t>
  </si>
  <si>
    <t>2P</t>
  </si>
  <si>
    <t>Amadeus</t>
  </si>
  <si>
    <t>Bass</t>
  </si>
  <si>
    <t>Beetaloo</t>
  </si>
  <si>
    <t>Bowen/Surat</t>
  </si>
  <si>
    <t>Cooper/Eromanga</t>
  </si>
  <si>
    <t>Galilee-Drummond</t>
  </si>
  <si>
    <t>Gippsland</t>
  </si>
  <si>
    <t>McArthur</t>
  </si>
  <si>
    <t>-</t>
  </si>
  <si>
    <t>Otway</t>
  </si>
  <si>
    <t>Total</t>
  </si>
  <si>
    <t>Source: https://aemo.com.au/energy-systems/gas/gas-bulletin-board-gbb/data-gbb/reserves-resources-reporting-and-facility-developments</t>
  </si>
  <si>
    <t>Production Costs</t>
  </si>
  <si>
    <r>
      <t>The following table contains data from Rystad Energy on production costs</t>
    </r>
    <r>
      <rPr>
        <vertAlign val="superscript"/>
        <sz val="11"/>
        <color rgb="FF3C1053"/>
        <rFont val="Arial Nova"/>
        <family val="2"/>
        <scheme val="minor"/>
      </rPr>
      <t>1</t>
    </r>
    <r>
      <rPr>
        <sz val="11"/>
        <color rgb="FF3C1053"/>
        <rFont val="Arial Nova"/>
        <family val="2"/>
        <scheme val="minor"/>
      </rPr>
      <t xml:space="preserve"> to the point of injection.</t>
    </r>
  </si>
  <si>
    <t>$/GJ</t>
  </si>
  <si>
    <r>
      <t>Beetaloo</t>
    </r>
    <r>
      <rPr>
        <vertAlign val="superscript"/>
        <sz val="11"/>
        <color theme="1"/>
        <rFont val="Arial Nova"/>
        <family val="2"/>
      </rPr>
      <t>2</t>
    </r>
  </si>
  <si>
    <t>Source: Rystad Energy and previous GSOO inputs</t>
  </si>
  <si>
    <t>Pipeline Transmission Tariffs</t>
  </si>
  <si>
    <t>Pipeline</t>
  </si>
  <si>
    <t>Direction</t>
  </si>
  <si>
    <t>BWP</t>
  </si>
  <si>
    <t>Both directions</t>
  </si>
  <si>
    <t>CGP</t>
  </si>
  <si>
    <t>Northern flow</t>
  </si>
  <si>
    <t>Southern flow</t>
  </si>
  <si>
    <t>DDP</t>
  </si>
  <si>
    <t>EGP</t>
  </si>
  <si>
    <t>Western flow</t>
  </si>
  <si>
    <t>MAP</t>
  </si>
  <si>
    <t>MSP</t>
  </si>
  <si>
    <t>NGP</t>
  </si>
  <si>
    <t>South-eastern flow</t>
  </si>
  <si>
    <t>NQGP</t>
  </si>
  <si>
    <t>QGP</t>
  </si>
  <si>
    <t>RBP</t>
  </si>
  <si>
    <t>PCA</t>
  </si>
  <si>
    <t>SWQP</t>
  </si>
  <si>
    <t>Eastern flow</t>
  </si>
  <si>
    <t>TGP</t>
  </si>
  <si>
    <t>WGP</t>
  </si>
  <si>
    <t>AEMO has prepared this data file to provide information about the data and assumptions used to produce the 2026 Gas Statement of Opportunities under the National Gas Law and Part 15D of the National Gas Rules.</t>
  </si>
  <si>
    <t xml:space="preserve">                                     -  </t>
  </si>
  <si>
    <t xml:space="preserve"> - </t>
  </si>
  <si>
    <t xml:space="preserve">This data file contains the data used in the 2026 Gas Statement of Opportunities (GSOO). Further information on how this data is used within the GSOO model is available in the GSOO methodology documents available from the GSOO webpage: </t>
  </si>
  <si>
    <t>© 2026 Australian Energy Market Operator Limited.  The material in this publication may be used in accordance with the copyright permissions on AEMO's website.</t>
  </si>
  <si>
    <t>DTS*</t>
  </si>
  <si>
    <t>*All Victorian Declared Transmission System pipelines use the same tariff in the GSOO model (based on total system average tariff using distribution UAFG calculation)</t>
  </si>
  <si>
    <t>AGP</t>
  </si>
  <si>
    <t>bcf</t>
  </si>
  <si>
    <t>Gunnedah</t>
  </si>
  <si>
    <t>This publication does not include all of the information that an investor, participant or potential participant might require, and does not amount to a recommendation of any investment.</t>
  </si>
  <si>
    <t xml:space="preserve">Anyone proposing to use the information in this document (which includes information from third parties) should independently verify its accuracy, completeness and suitability for purpose, and obtain independent and specific advice from appropriate experts. </t>
  </si>
  <si>
    <r>
      <rPr>
        <sz val="11"/>
        <color theme="1"/>
        <rFont val="Arial"/>
        <family val="2"/>
      </rPr>
      <t>•</t>
    </r>
    <r>
      <rPr>
        <sz val="11"/>
        <color theme="1"/>
        <rFont val="Arial Nova"/>
        <family val="2"/>
        <scheme val="minor"/>
      </rPr>
      <t xml:space="preserve"> make no representation or warranty, express or implied, as to the currency, accuracy, reliability or</t>
    </r>
    <r>
      <rPr>
        <sz val="11"/>
        <color theme="1"/>
        <rFont val="Arial Nova"/>
        <family val="2"/>
        <scheme val="minor"/>
      </rPr>
      <t xml:space="preserve"> completeness of the information in this workbook; and</t>
    </r>
  </si>
  <si>
    <t>• are not liable (whether by reason of negligence or otherwise) for any statements, opinions, information, representations or other matters contained in or derived from this document, or any omissions from it, or in respect of a person’s use or reliance on the information in this workbook.</t>
  </si>
  <si>
    <t>This workbook contains additional information on reserves and resources information, production costs, and pipeline tariffs related to the modelling undertaken for the 2026 Gas Statement of Opportunities (GSOO). This dataset or the information in it may be subsequently updated or amended.</t>
  </si>
  <si>
    <t>Reserves and resources as at February 2026</t>
  </si>
  <si>
    <r>
      <t>The following table provides indicative pipeline tariffs for each major market-accessible pipeline in the GSOO model. Prices are representative of what is used in 2026 GSOO modelling and may not reflect the latest prices. Tariffs were extracted on</t>
    </r>
    <r>
      <rPr>
        <b/>
        <sz val="11"/>
        <color rgb="FF3C1053"/>
        <rFont val="Arial Nova"/>
        <family val="2"/>
        <scheme val="minor"/>
      </rPr>
      <t xml:space="preserve"> </t>
    </r>
    <r>
      <rPr>
        <b/>
        <sz val="11"/>
        <color theme="6"/>
        <rFont val="Arial Nova"/>
        <family val="2"/>
        <scheme val="minor"/>
      </rPr>
      <t>15/12/2025</t>
    </r>
    <r>
      <rPr>
        <sz val="11"/>
        <color rgb="FF3C1053"/>
        <rFont val="Arial Nova"/>
        <family val="2"/>
        <scheme val="minor"/>
      </rPr>
      <t>.</t>
    </r>
  </si>
  <si>
    <t xml:space="preserve">Notes: 
(1) Overall production costs assumptions:
         - Production costs are the marginal cost of producing a GJ of sales gas to the point of sale into a transmission pipeline (inlet flange) and thus exclude transport cost.
         - Costs include operating cost, capital costs, royalty, tax and a return on capital.
         - Importantly they are not intended to reflect gas sale prices, only the marginal cost of actually supplying the gas.
         - For developed reserves production costs include largely marginal operating costs, royalties and tax.
         - For undeveloped reserves, marginal costs also include the cost of drilling and completion and marginal gas processing plant costs.
         - Where a gas plant does not exist the marginal cost will include an estimate of a per unit cost of capital and operating cost for that plant.
(2) Production cost is derived from the limited set of developments which may not represent full field infrastructure or operating conditions.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</si>
</sst>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quot;$&quot;#,##0.00"/>
    <numFmt numFmtId="166" formatCode="0.0"/>
    <numFmt numFmtId="167" formatCode="_-* #,##0.0_-;\-* #,##0.0_-;_-* &quot;-&quot;??_-;_-@_-"/>
  </numFmts>
  <fonts count="26" x14ac:knownFonts="1">
    <font>
      <sz val="11"/>
      <color theme="1"/>
      <name val="Arial Nova"/>
      <family val="2"/>
      <scheme val="minor"/>
    </font>
    <font>
      <b/>
      <sz val="15"/>
      <color theme="3"/>
      <name val="Arial Nova"/>
      <family val="2"/>
      <scheme val="minor"/>
    </font>
    <font>
      <b/>
      <sz val="11"/>
      <color theme="1"/>
      <name val="Arial Nova"/>
      <family val="2"/>
      <scheme val="minor"/>
    </font>
    <font>
      <b/>
      <sz val="20"/>
      <color theme="3"/>
      <name val="Arial Nova"/>
      <family val="2"/>
      <scheme val="minor"/>
    </font>
    <font>
      <sz val="20"/>
      <color theme="3"/>
      <name val="Arial Nova"/>
      <family val="2"/>
      <scheme val="minor"/>
    </font>
    <font>
      <b/>
      <sz val="14"/>
      <color theme="3"/>
      <name val="Arial Nova"/>
      <family val="2"/>
      <scheme val="minor"/>
    </font>
    <font>
      <u/>
      <sz val="11"/>
      <color theme="10"/>
      <name val="Arial Nova"/>
      <family val="2"/>
      <scheme val="minor"/>
    </font>
    <font>
      <sz val="16"/>
      <color theme="3"/>
      <name val="Arial Nova"/>
      <family val="2"/>
      <scheme val="minor"/>
    </font>
    <font>
      <sz val="10"/>
      <color theme="1"/>
      <name val="Arial Nova"/>
      <family val="2"/>
      <scheme val="minor"/>
    </font>
    <font>
      <sz val="11"/>
      <color theme="1"/>
      <name val="Arial Nova"/>
      <family val="2"/>
      <scheme val="minor"/>
    </font>
    <font>
      <sz val="10"/>
      <color theme="1"/>
      <name val="Calibri"/>
      <family val="2"/>
    </font>
    <font>
      <sz val="9"/>
      <color theme="1"/>
      <name val="Arial"/>
      <family val="2"/>
    </font>
    <font>
      <sz val="11"/>
      <color theme="3"/>
      <name val="Arial Nova"/>
      <family val="2"/>
      <scheme val="minor"/>
    </font>
    <font>
      <b/>
      <sz val="11"/>
      <color theme="5"/>
      <name val="Arial Nova"/>
      <family val="2"/>
      <scheme val="minor"/>
    </font>
    <font>
      <sz val="14"/>
      <color theme="3"/>
      <name val="Arial Nova"/>
      <family val="2"/>
      <scheme val="minor"/>
    </font>
    <font>
      <sz val="11"/>
      <color theme="1"/>
      <name val="Arial Nova"/>
      <family val="2"/>
    </font>
    <font>
      <vertAlign val="superscript"/>
      <sz val="11"/>
      <color theme="1"/>
      <name val="Arial Nova"/>
      <family val="2"/>
    </font>
    <font>
      <sz val="11"/>
      <color rgb="FF3C1053"/>
      <name val="Arial Nova"/>
      <family val="2"/>
      <scheme val="minor"/>
    </font>
    <font>
      <vertAlign val="superscript"/>
      <sz val="11"/>
      <color rgb="FF3C1053"/>
      <name val="Arial Nova"/>
      <family val="2"/>
      <scheme val="minor"/>
    </font>
    <font>
      <sz val="11"/>
      <color rgb="FF000000"/>
      <name val="Calibri"/>
      <family val="2"/>
    </font>
    <font>
      <sz val="11"/>
      <name val="Arial Nova"/>
      <family val="2"/>
      <scheme val="minor"/>
    </font>
    <font>
      <b/>
      <sz val="11"/>
      <color rgb="FF3C1053"/>
      <name val="Arial Nova"/>
      <family val="2"/>
      <scheme val="minor"/>
    </font>
    <font>
      <b/>
      <sz val="11"/>
      <color theme="6"/>
      <name val="Arial Nova"/>
      <family val="2"/>
      <scheme val="minor"/>
    </font>
    <font>
      <sz val="10"/>
      <name val="Arial"/>
      <family val="2"/>
    </font>
    <font>
      <b/>
      <sz val="11"/>
      <color rgb="FFFF0000"/>
      <name val="Arial Nova"/>
      <family val="2"/>
      <scheme val="minor"/>
    </font>
    <font>
      <sz val="11"/>
      <color theme="1"/>
      <name val="Arial"/>
      <family val="2"/>
    </font>
  </fonts>
  <fills count="7">
    <fill>
      <patternFill patternType="none"/>
    </fill>
    <fill>
      <patternFill patternType="gray125"/>
    </fill>
    <fill>
      <patternFill patternType="solid">
        <fgColor rgb="FFF9F9F9"/>
        <bgColor indexed="64"/>
      </patternFill>
    </fill>
    <fill>
      <patternFill patternType="solid">
        <fgColor rgb="FFFEFDFD"/>
        <bgColor indexed="64"/>
      </patternFill>
    </fill>
    <fill>
      <patternFill patternType="solid">
        <fgColor rgb="FFEBE9E8"/>
        <bgColor indexed="64"/>
      </patternFill>
    </fill>
    <fill>
      <patternFill patternType="solid">
        <fgColor rgb="FFFAF9F9"/>
        <bgColor indexed="64"/>
      </patternFill>
    </fill>
    <fill>
      <patternFill patternType="solid">
        <fgColor theme="0"/>
        <bgColor indexed="64"/>
      </patternFill>
    </fill>
  </fills>
  <borders count="37">
    <border>
      <left/>
      <right/>
      <top/>
      <bottom/>
      <diagonal/>
    </border>
    <border>
      <left/>
      <right/>
      <top/>
      <bottom style="thick">
        <color theme="4"/>
      </bottom>
      <diagonal/>
    </border>
    <border>
      <left style="thin">
        <color theme="0" tint="-4.9989318521683403E-2"/>
      </left>
      <right style="thin">
        <color rgb="FFF9F9F9"/>
      </right>
      <top style="thin">
        <color theme="0" tint="-4.9989318521683403E-2"/>
      </top>
      <bottom style="thin">
        <color rgb="FFF9F9F9"/>
      </bottom>
      <diagonal/>
    </border>
    <border>
      <left style="thin">
        <color rgb="FFF9F9F9"/>
      </left>
      <right style="thin">
        <color rgb="FFF9F9F9"/>
      </right>
      <top style="thin">
        <color theme="0" tint="-4.9989318521683403E-2"/>
      </top>
      <bottom style="thin">
        <color rgb="FFF9F9F9"/>
      </bottom>
      <diagonal/>
    </border>
    <border>
      <left style="thin">
        <color theme="0" tint="-4.9989318521683403E-2"/>
      </left>
      <right style="thin">
        <color rgb="FFF9F9F9"/>
      </right>
      <top style="thin">
        <color rgb="FFF9F9F9"/>
      </top>
      <bottom style="thin">
        <color rgb="FFF9F9F9"/>
      </bottom>
      <diagonal/>
    </border>
    <border>
      <left style="thin">
        <color rgb="FFF9F9F9"/>
      </left>
      <right style="thin">
        <color rgb="FFF9F9F9"/>
      </right>
      <top style="thin">
        <color rgb="FFF9F9F9"/>
      </top>
      <bottom style="thin">
        <color rgb="FFF9F9F9"/>
      </bottom>
      <diagonal/>
    </border>
    <border>
      <left style="thin">
        <color rgb="FFF9F9F9"/>
      </left>
      <right style="thin">
        <color rgb="FFF9F9F9"/>
      </right>
      <top style="thin">
        <color indexed="64"/>
      </top>
      <bottom style="thin">
        <color indexed="64"/>
      </bottom>
      <diagonal/>
    </border>
    <border>
      <left style="thin">
        <color rgb="FFF9F9F9"/>
      </left>
      <right style="thin">
        <color rgb="FFF9F9F9"/>
      </right>
      <top style="thin">
        <color rgb="FFF9F9F9"/>
      </top>
      <bottom/>
      <diagonal/>
    </border>
    <border>
      <left style="thin">
        <color rgb="FFFEFDFD"/>
      </left>
      <right style="thin">
        <color rgb="FFFEFDFD"/>
      </right>
      <top style="thin">
        <color rgb="FFFEFDFD"/>
      </top>
      <bottom style="thin">
        <color rgb="FFFEFDFD"/>
      </bottom>
      <diagonal/>
    </border>
    <border>
      <left style="thin">
        <color rgb="FFFEFDFD"/>
      </left>
      <right/>
      <top style="thin">
        <color rgb="FFFEFDFD"/>
      </top>
      <bottom/>
      <diagonal/>
    </border>
    <border>
      <left/>
      <right/>
      <top style="thin">
        <color rgb="FFFEFDFD"/>
      </top>
      <bottom/>
      <diagonal/>
    </border>
    <border>
      <left/>
      <right style="thin">
        <color rgb="FFFEFDFD"/>
      </right>
      <top style="thin">
        <color rgb="FFFEFDFD"/>
      </top>
      <bottom/>
      <diagonal/>
    </border>
    <border>
      <left style="thin">
        <color rgb="FFFEFDFD"/>
      </left>
      <right/>
      <top/>
      <bottom/>
      <diagonal/>
    </border>
    <border>
      <left/>
      <right style="thin">
        <color rgb="FFFEFDFD"/>
      </right>
      <top/>
      <bottom/>
      <diagonal/>
    </border>
    <border>
      <left style="thin">
        <color rgb="FFFEFDFD"/>
      </left>
      <right/>
      <top/>
      <bottom style="thin">
        <color rgb="FFFEFDFD"/>
      </bottom>
      <diagonal/>
    </border>
    <border>
      <left/>
      <right/>
      <top/>
      <bottom style="thin">
        <color rgb="FFFEFDFD"/>
      </bottom>
      <diagonal/>
    </border>
    <border>
      <left/>
      <right style="thin">
        <color rgb="FFFEFDFD"/>
      </right>
      <top/>
      <bottom style="thin">
        <color rgb="FFFEFDFD"/>
      </bottom>
      <diagonal/>
    </border>
    <border>
      <left style="thin">
        <color rgb="FFFEFDFD"/>
      </left>
      <right/>
      <top style="thin">
        <color rgb="FFFEFDFD"/>
      </top>
      <bottom style="thin">
        <color rgb="FFFEFDFD"/>
      </bottom>
      <diagonal/>
    </border>
    <border>
      <left/>
      <right style="thin">
        <color rgb="FFFEFDFD"/>
      </right>
      <top style="thin">
        <color rgb="FFFEFDFD"/>
      </top>
      <bottom style="thin">
        <color rgb="FFFEFDFD"/>
      </bottom>
      <diagonal/>
    </border>
    <border>
      <left style="thin">
        <color rgb="FFFEFDFD"/>
      </left>
      <right style="thin">
        <color rgb="FFFEFDFD"/>
      </right>
      <top/>
      <bottom style="thin">
        <color rgb="FFFEFDFD"/>
      </bottom>
      <diagonal/>
    </border>
    <border>
      <left style="thin">
        <color rgb="FFFEFDFD"/>
      </left>
      <right style="thin">
        <color rgb="FFFEFDFD"/>
      </right>
      <top style="thin">
        <color rgb="FFFEFDFD"/>
      </top>
      <bottom/>
      <diagonal/>
    </border>
    <border>
      <left style="thin">
        <color rgb="FFF9F9F9"/>
      </left>
      <right/>
      <top style="thin">
        <color indexed="64"/>
      </top>
      <bottom style="thin">
        <color indexed="64"/>
      </bottom>
      <diagonal/>
    </border>
    <border>
      <left/>
      <right style="thin">
        <color rgb="FFF9F9F9"/>
      </right>
      <top style="thin">
        <color indexed="64"/>
      </top>
      <bottom style="thin">
        <color indexed="64"/>
      </bottom>
      <diagonal/>
    </border>
    <border>
      <left style="thin">
        <color rgb="FFFEFDFD"/>
      </left>
      <right style="thin">
        <color rgb="FFFEFDFD"/>
      </right>
      <top style="thin">
        <color indexed="64"/>
      </top>
      <bottom style="thin">
        <color rgb="FFFEFDFD"/>
      </bottom>
      <diagonal/>
    </border>
    <border>
      <left style="thin">
        <color rgb="FFFEFDFD"/>
      </left>
      <right style="thin">
        <color rgb="FFFEFDFD"/>
      </right>
      <top style="thin">
        <color rgb="FFFEFDFD"/>
      </top>
      <bottom style="thin">
        <color indexed="64"/>
      </bottom>
      <diagonal/>
    </border>
    <border>
      <left style="thin">
        <color rgb="FFFEFDFD"/>
      </left>
      <right style="thin">
        <color rgb="FFFEFDFD"/>
      </right>
      <top/>
      <bottom style="thin">
        <color indexed="64"/>
      </bottom>
      <diagonal/>
    </border>
    <border>
      <left style="thin">
        <color rgb="FFF9F9F9"/>
      </left>
      <right/>
      <top style="thin">
        <color rgb="FFF9F9F9"/>
      </top>
      <bottom style="thin">
        <color rgb="FFF9F9F9"/>
      </bottom>
      <diagonal/>
    </border>
    <border>
      <left/>
      <right/>
      <top style="thin">
        <color rgb="FFF9F9F9"/>
      </top>
      <bottom style="thin">
        <color rgb="FFF9F9F9"/>
      </bottom>
      <diagonal/>
    </border>
    <border>
      <left/>
      <right style="thin">
        <color rgb="FFF9F9F9"/>
      </right>
      <top style="thin">
        <color rgb="FFF9F9F9"/>
      </top>
      <bottom style="thin">
        <color rgb="FFF9F9F9"/>
      </bottom>
      <diagonal/>
    </border>
    <border>
      <left/>
      <right/>
      <top style="thin">
        <color rgb="FFFEFDFD"/>
      </top>
      <bottom style="thin">
        <color rgb="FFFEFDFD"/>
      </bottom>
      <diagonal/>
    </border>
    <border>
      <left style="thin">
        <color rgb="FFFEFDFD"/>
      </left>
      <right style="thin">
        <color rgb="FFFEFDFD"/>
      </right>
      <top/>
      <bottom/>
      <diagonal/>
    </border>
    <border>
      <left style="thin">
        <color rgb="FFFEFDFD"/>
      </left>
      <right/>
      <top style="thin">
        <color auto="1"/>
      </top>
      <bottom style="thin">
        <color auto="1"/>
      </bottom>
      <diagonal/>
    </border>
    <border>
      <left/>
      <right style="thin">
        <color rgb="FFFEFDFD"/>
      </right>
      <top style="thin">
        <color auto="1"/>
      </top>
      <bottom style="thin">
        <color auto="1"/>
      </bottom>
      <diagonal/>
    </border>
    <border>
      <left/>
      <right/>
      <top style="thin">
        <color indexed="64"/>
      </top>
      <bottom style="thin">
        <color auto="1"/>
      </bottom>
      <diagonal/>
    </border>
    <border>
      <left style="thin">
        <color rgb="FFF9F9F9"/>
      </left>
      <right style="thin">
        <color rgb="FFF9F9F9"/>
      </right>
      <top/>
      <bottom style="thin">
        <color rgb="FFF9F9F9"/>
      </bottom>
      <diagonal/>
    </border>
    <border>
      <left style="thin">
        <color rgb="FFF9F9F9"/>
      </left>
      <right style="thin">
        <color rgb="FFF9F9F9"/>
      </right>
      <top/>
      <bottom style="thin">
        <color indexed="64"/>
      </bottom>
      <diagonal/>
    </border>
    <border>
      <left style="medium">
        <color theme="0"/>
      </left>
      <right style="medium">
        <color theme="0"/>
      </right>
      <top style="medium">
        <color theme="0"/>
      </top>
      <bottom style="medium">
        <color theme="0"/>
      </bottom>
      <diagonal/>
    </border>
  </borders>
  <cellStyleXfs count="7">
    <xf numFmtId="0" fontId="0" fillId="0" borderId="0"/>
    <xf numFmtId="0" fontId="1" fillId="0" borderId="1" applyNumberFormat="0" applyFill="0" applyAlignment="0" applyProtection="0"/>
    <xf numFmtId="0" fontId="6" fillId="0" borderId="0" applyNumberFormat="0" applyFill="0" applyBorder="0" applyAlignment="0" applyProtection="0"/>
    <xf numFmtId="43" fontId="9" fillId="0" borderId="0" applyFont="0" applyFill="0" applyBorder="0" applyAlignment="0" applyProtection="0"/>
    <xf numFmtId="0" fontId="11" fillId="0" borderId="0"/>
    <xf numFmtId="167" fontId="23" fillId="0" borderId="36" applyNumberFormat="0" applyAlignment="0">
      <alignment horizontal="center"/>
    </xf>
    <xf numFmtId="0" fontId="9" fillId="0" borderId="0"/>
  </cellStyleXfs>
  <cellXfs count="126">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5" xfId="0" applyFill="1" applyBorder="1" applyAlignment="1">
      <alignment vertical="center"/>
    </xf>
    <xf numFmtId="0" fontId="0" fillId="2" borderId="7" xfId="0" applyFill="1" applyBorder="1"/>
    <xf numFmtId="0" fontId="0" fillId="2" borderId="6" xfId="0" applyFill="1" applyBorder="1" applyAlignment="1">
      <alignment horizontal="center" vertical="center"/>
    </xf>
    <xf numFmtId="0" fontId="2" fillId="2" borderId="6" xfId="0" applyFont="1" applyFill="1" applyBorder="1" applyAlignment="1">
      <alignment horizontal="center" vertical="center"/>
    </xf>
    <xf numFmtId="0" fontId="3" fillId="2" borderId="5" xfId="1" applyFont="1" applyFill="1" applyBorder="1" applyAlignment="1">
      <alignment horizontal="left"/>
    </xf>
    <xf numFmtId="0" fontId="3" fillId="2" borderId="5" xfId="1" applyFont="1" applyFill="1" applyBorder="1" applyAlignment="1"/>
    <xf numFmtId="0" fontId="0" fillId="3" borderId="8" xfId="0" applyFill="1" applyBorder="1"/>
    <xf numFmtId="0" fontId="0" fillId="3" borderId="8" xfId="0" applyFill="1" applyBorder="1" applyAlignment="1">
      <alignment wrapText="1"/>
    </xf>
    <xf numFmtId="0" fontId="4" fillId="3" borderId="8" xfId="1" applyFont="1" applyFill="1" applyBorder="1" applyAlignment="1"/>
    <xf numFmtId="0" fontId="3" fillId="3" borderId="8" xfId="1" applyFont="1" applyFill="1" applyBorder="1" applyAlignment="1"/>
    <xf numFmtId="0" fontId="0" fillId="3" borderId="0" xfId="0" applyFill="1"/>
    <xf numFmtId="0" fontId="0" fillId="3" borderId="9" xfId="0" applyFill="1" applyBorder="1"/>
    <xf numFmtId="0" fontId="0" fillId="3" borderId="10" xfId="0" applyFill="1" applyBorder="1"/>
    <xf numFmtId="0" fontId="0" fillId="3" borderId="11" xfId="0" applyFill="1" applyBorder="1"/>
    <xf numFmtId="0" fontId="0" fillId="3" borderId="13" xfId="0" applyFill="1" applyBorder="1"/>
    <xf numFmtId="0" fontId="0" fillId="3" borderId="15" xfId="0" applyFill="1" applyBorder="1"/>
    <xf numFmtId="0" fontId="0" fillId="3" borderId="16" xfId="0" applyFill="1" applyBorder="1"/>
    <xf numFmtId="0" fontId="5" fillId="3" borderId="8" xfId="1" applyFont="1" applyFill="1" applyBorder="1" applyAlignment="1"/>
    <xf numFmtId="0" fontId="0" fillId="2" borderId="6" xfId="0" applyFill="1" applyBorder="1" applyAlignment="1">
      <alignment horizontal="left" wrapText="1"/>
    </xf>
    <xf numFmtId="0" fontId="7" fillId="3" borderId="15" xfId="1" applyFont="1" applyFill="1" applyBorder="1" applyAlignment="1">
      <alignment vertical="top" wrapText="1"/>
    </xf>
    <xf numFmtId="0" fontId="0" fillId="2" borderId="6" xfId="0" applyFill="1" applyBorder="1" applyAlignment="1">
      <alignment vertical="center" wrapText="1"/>
    </xf>
    <xf numFmtId="0" fontId="6" fillId="2" borderId="5" xfId="2" applyFill="1" applyBorder="1"/>
    <xf numFmtId="0" fontId="6" fillId="2" borderId="6" xfId="2" applyFill="1" applyBorder="1" applyAlignment="1">
      <alignment vertical="center"/>
    </xf>
    <xf numFmtId="0" fontId="0" fillId="3" borderId="14" xfId="0" applyFill="1" applyBorder="1" applyAlignment="1">
      <alignment wrapText="1"/>
    </xf>
    <xf numFmtId="0" fontId="0" fillId="3" borderId="15" xfId="0" applyFill="1" applyBorder="1" applyAlignment="1">
      <alignment wrapText="1"/>
    </xf>
    <xf numFmtId="0" fontId="0" fillId="3" borderId="16" xfId="0" applyFill="1" applyBorder="1" applyAlignment="1">
      <alignment wrapText="1"/>
    </xf>
    <xf numFmtId="0" fontId="0" fillId="3" borderId="9" xfId="0" applyFill="1" applyBorder="1" applyAlignment="1">
      <alignment wrapText="1"/>
    </xf>
    <xf numFmtId="0" fontId="0" fillId="3" borderId="10" xfId="0" applyFill="1" applyBorder="1" applyAlignment="1">
      <alignment wrapText="1"/>
    </xf>
    <xf numFmtId="0" fontId="0" fillId="3" borderId="11" xfId="0" applyFill="1" applyBorder="1" applyAlignment="1">
      <alignment wrapText="1"/>
    </xf>
    <xf numFmtId="0" fontId="0" fillId="3" borderId="12" xfId="0" applyFill="1" applyBorder="1" applyAlignment="1">
      <alignment wrapText="1"/>
    </xf>
    <xf numFmtId="0" fontId="0" fillId="3" borderId="0" xfId="0" applyFill="1" applyAlignment="1">
      <alignment wrapText="1"/>
    </xf>
    <xf numFmtId="0" fontId="0" fillId="3" borderId="13" xfId="0" applyFill="1" applyBorder="1" applyAlignment="1">
      <alignment wrapText="1"/>
    </xf>
    <xf numFmtId="164" fontId="0" fillId="3" borderId="8" xfId="0" applyNumberFormat="1" applyFill="1" applyBorder="1"/>
    <xf numFmtId="0" fontId="0" fillId="0" borderId="8" xfId="0" applyBorder="1"/>
    <xf numFmtId="0" fontId="0" fillId="0" borderId="6" xfId="0" applyBorder="1" applyAlignment="1">
      <alignment horizontal="left" wrapText="1"/>
    </xf>
    <xf numFmtId="0" fontId="10" fillId="0" borderId="0" xfId="0" applyFont="1"/>
    <xf numFmtId="0" fontId="0" fillId="3" borderId="17" xfId="0" applyFill="1" applyBorder="1"/>
    <xf numFmtId="1" fontId="0" fillId="3" borderId="8" xfId="0" applyNumberFormat="1" applyFill="1" applyBorder="1"/>
    <xf numFmtId="0" fontId="0" fillId="3" borderId="12" xfId="0" applyFill="1" applyBorder="1"/>
    <xf numFmtId="0" fontId="2" fillId="3" borderId="31" xfId="0" applyFont="1" applyFill="1" applyBorder="1" applyAlignment="1">
      <alignment horizontal="center" vertical="center"/>
    </xf>
    <xf numFmtId="0" fontId="0" fillId="3" borderId="31" xfId="0" applyFill="1" applyBorder="1" applyAlignment="1">
      <alignment horizontal="center" vertical="center"/>
    </xf>
    <xf numFmtId="0" fontId="0" fillId="3" borderId="18" xfId="0" applyFill="1" applyBorder="1"/>
    <xf numFmtId="0" fontId="0" fillId="3" borderId="19" xfId="0" applyFill="1" applyBorder="1"/>
    <xf numFmtId="0" fontId="13" fillId="4" borderId="25" xfId="0" applyFont="1" applyFill="1" applyBorder="1" applyAlignment="1">
      <alignment horizontal="center"/>
    </xf>
    <xf numFmtId="0" fontId="13" fillId="4" borderId="24" xfId="0" applyFont="1" applyFill="1" applyBorder="1" applyAlignment="1">
      <alignment horizontal="center"/>
    </xf>
    <xf numFmtId="0" fontId="0" fillId="4" borderId="23" xfId="0" applyFill="1" applyBorder="1" applyAlignment="1">
      <alignment horizontal="left" vertical="top" wrapText="1"/>
    </xf>
    <xf numFmtId="164" fontId="0" fillId="4" borderId="23" xfId="3" applyNumberFormat="1" applyFont="1" applyFill="1" applyBorder="1" applyAlignment="1">
      <alignment horizontal="right" vertical="top" wrapText="1"/>
    </xf>
    <xf numFmtId="0" fontId="0" fillId="4" borderId="19" xfId="0" applyFill="1" applyBorder="1" applyAlignment="1">
      <alignment horizontal="left" vertical="top" wrapText="1"/>
    </xf>
    <xf numFmtId="164" fontId="0" fillId="4" borderId="19" xfId="3" applyNumberFormat="1" applyFont="1" applyFill="1" applyBorder="1" applyAlignment="1">
      <alignment horizontal="right" vertical="top" wrapText="1"/>
    </xf>
    <xf numFmtId="0" fontId="0" fillId="4" borderId="30" xfId="0" applyFill="1" applyBorder="1" applyAlignment="1">
      <alignment horizontal="left" vertical="top" wrapText="1"/>
    </xf>
    <xf numFmtId="0" fontId="0" fillId="4" borderId="8" xfId="0" applyFill="1" applyBorder="1" applyAlignment="1">
      <alignment horizontal="left" vertical="top" wrapText="1"/>
    </xf>
    <xf numFmtId="0" fontId="2" fillId="4" borderId="14" xfId="0" applyFont="1" applyFill="1" applyBorder="1" applyAlignment="1">
      <alignment horizontal="center" vertical="top" wrapText="1"/>
    </xf>
    <xf numFmtId="164" fontId="2" fillId="4" borderId="19" xfId="3" applyNumberFormat="1" applyFont="1" applyFill="1" applyBorder="1" applyAlignment="1">
      <alignment horizontal="right" vertical="top" wrapText="1"/>
    </xf>
    <xf numFmtId="0" fontId="14" fillId="3" borderId="8" xfId="1" applyFont="1" applyFill="1" applyBorder="1" applyAlignment="1"/>
    <xf numFmtId="165" fontId="0" fillId="4" borderId="8" xfId="0" applyNumberFormat="1" applyFill="1" applyBorder="1" applyAlignment="1">
      <alignment horizontal="center" vertical="top" wrapText="1"/>
    </xf>
    <xf numFmtId="0" fontId="13" fillId="4" borderId="8" xfId="0" applyFont="1" applyFill="1" applyBorder="1"/>
    <xf numFmtId="2" fontId="0" fillId="4" borderId="8" xfId="0" applyNumberFormat="1" applyFill="1" applyBorder="1" applyAlignment="1">
      <alignment horizontal="right" vertical="top" wrapText="1"/>
    </xf>
    <xf numFmtId="0" fontId="5" fillId="3" borderId="17" xfId="1" applyFont="1" applyFill="1" applyBorder="1" applyAlignment="1">
      <alignment horizontal="left"/>
    </xf>
    <xf numFmtId="0" fontId="8" fillId="0" borderId="0" xfId="0" applyFont="1"/>
    <xf numFmtId="0" fontId="5" fillId="3" borderId="8" xfId="1" applyFont="1" applyFill="1" applyBorder="1" applyAlignment="1">
      <alignment horizontal="left" wrapText="1"/>
    </xf>
    <xf numFmtId="0" fontId="15" fillId="4" borderId="0" xfId="0" applyFont="1" applyFill="1" applyAlignment="1">
      <alignment vertical="center"/>
    </xf>
    <xf numFmtId="0" fontId="12" fillId="3" borderId="18" xfId="0" applyFont="1" applyFill="1" applyBorder="1" applyAlignment="1">
      <alignment vertical="top" wrapText="1"/>
    </xf>
    <xf numFmtId="0" fontId="0" fillId="2" borderId="34" xfId="0" applyFill="1" applyBorder="1"/>
    <xf numFmtId="14" fontId="0" fillId="2" borderId="6" xfId="0" applyNumberFormat="1" applyFill="1" applyBorder="1"/>
    <xf numFmtId="14" fontId="0" fillId="2" borderId="35" xfId="0" applyNumberFormat="1" applyFill="1" applyBorder="1" applyAlignment="1">
      <alignment vertical="top"/>
    </xf>
    <xf numFmtId="0" fontId="19" fillId="0" borderId="0" xfId="0" applyFont="1"/>
    <xf numFmtId="0" fontId="0" fillId="3" borderId="29" xfId="0" applyFill="1" applyBorder="1"/>
    <xf numFmtId="0" fontId="5" fillId="3" borderId="17" xfId="1" applyFont="1" applyFill="1" applyBorder="1" applyAlignment="1">
      <alignment horizontal="left" wrapText="1"/>
    </xf>
    <xf numFmtId="0" fontId="20" fillId="6" borderId="17" xfId="0" applyFont="1" applyFill="1" applyBorder="1"/>
    <xf numFmtId="3" fontId="23" fillId="0" borderId="36" xfId="5" applyNumberFormat="1" applyAlignment="1">
      <alignment horizontal="left"/>
    </xf>
    <xf numFmtId="3" fontId="0" fillId="3" borderId="8" xfId="0" applyNumberFormat="1" applyFill="1" applyBorder="1"/>
    <xf numFmtId="43" fontId="0" fillId="3" borderId="8" xfId="0" applyNumberFormat="1" applyFill="1" applyBorder="1"/>
    <xf numFmtId="0" fontId="3" fillId="6" borderId="20" xfId="1" applyFont="1" applyFill="1" applyBorder="1" applyAlignment="1"/>
    <xf numFmtId="0" fontId="0" fillId="6" borderId="20" xfId="0" applyFill="1" applyBorder="1"/>
    <xf numFmtId="0" fontId="2" fillId="6" borderId="31" xfId="0" applyFont="1" applyFill="1" applyBorder="1" applyAlignment="1">
      <alignment horizontal="center" vertical="center"/>
    </xf>
    <xf numFmtId="0" fontId="2" fillId="6" borderId="32" xfId="0" applyFont="1" applyFill="1" applyBorder="1" applyAlignment="1">
      <alignment vertical="center"/>
    </xf>
    <xf numFmtId="0" fontId="0" fillId="6" borderId="31" xfId="0" applyFill="1" applyBorder="1" applyAlignment="1">
      <alignment horizontal="center" vertical="center"/>
    </xf>
    <xf numFmtId="0" fontId="0" fillId="6" borderId="32" xfId="0" applyFill="1" applyBorder="1" applyAlignment="1">
      <alignment vertical="center"/>
    </xf>
    <xf numFmtId="0" fontId="0" fillId="6" borderId="0" xfId="0" applyFill="1"/>
    <xf numFmtId="0" fontId="24" fillId="6" borderId="0" xfId="0" applyFont="1" applyFill="1"/>
    <xf numFmtId="0" fontId="9" fillId="6" borderId="0" xfId="6" applyFill="1"/>
    <xf numFmtId="0" fontId="0" fillId="6" borderId="0" xfId="6" applyFont="1" applyFill="1" applyAlignment="1">
      <alignment wrapText="1"/>
    </xf>
    <xf numFmtId="0" fontId="9" fillId="6" borderId="0" xfId="6" applyFill="1" applyAlignment="1">
      <alignment wrapText="1"/>
    </xf>
    <xf numFmtId="0" fontId="0" fillId="6" borderId="0" xfId="6" quotePrefix="1" applyFont="1" applyFill="1" applyAlignment="1">
      <alignment horizontal="left" wrapText="1" indent="2"/>
    </xf>
    <xf numFmtId="0" fontId="0" fillId="6" borderId="0" xfId="6" quotePrefix="1" applyFont="1" applyFill="1" applyAlignment="1">
      <alignment horizontal="left" vertical="top" wrapText="1" indent="2"/>
    </xf>
    <xf numFmtId="0" fontId="0" fillId="3" borderId="0" xfId="0" applyFill="1" applyBorder="1"/>
    <xf numFmtId="0" fontId="0" fillId="3" borderId="0" xfId="0" applyFill="1" applyBorder="1" applyAlignment="1">
      <alignment wrapText="1"/>
    </xf>
    <xf numFmtId="166" fontId="0" fillId="2" borderId="21" xfId="0" applyNumberFormat="1" applyFill="1" applyBorder="1" applyAlignment="1">
      <alignment horizontal="left" wrapText="1"/>
    </xf>
    <xf numFmtId="166" fontId="0" fillId="2" borderId="22" xfId="0" applyNumberFormat="1" applyFill="1" applyBorder="1" applyAlignment="1">
      <alignment horizontal="left" wrapText="1"/>
    </xf>
    <xf numFmtId="166" fontId="0" fillId="2" borderId="21" xfId="0" applyNumberFormat="1" applyFill="1" applyBorder="1" applyAlignment="1">
      <alignment horizontal="left" vertical="top" wrapText="1"/>
    </xf>
    <xf numFmtId="166" fontId="0" fillId="2" borderId="22" xfId="0" applyNumberFormat="1" applyFill="1" applyBorder="1" applyAlignment="1">
      <alignment horizontal="left" vertical="top" wrapText="1"/>
    </xf>
    <xf numFmtId="0" fontId="0" fillId="2" borderId="21" xfId="0" applyFill="1" applyBorder="1" applyAlignment="1">
      <alignment horizontal="left" wrapText="1"/>
    </xf>
    <xf numFmtId="0" fontId="0" fillId="2" borderId="22" xfId="0" applyFill="1" applyBorder="1" applyAlignment="1">
      <alignment horizontal="left" wrapText="1"/>
    </xf>
    <xf numFmtId="0" fontId="0" fillId="2" borderId="5" xfId="0" applyFill="1" applyBorder="1" applyAlignment="1">
      <alignment horizontal="left" vertical="center" wrapText="1"/>
    </xf>
    <xf numFmtId="0" fontId="3" fillId="2" borderId="5" xfId="1" applyFont="1" applyFill="1" applyBorder="1" applyAlignment="1">
      <alignment horizontal="left"/>
    </xf>
    <xf numFmtId="0" fontId="6" fillId="5" borderId="26" xfId="2" applyFill="1" applyBorder="1" applyAlignment="1">
      <alignment horizontal="left"/>
    </xf>
    <xf numFmtId="0" fontId="6" fillId="5" borderId="27" xfId="2" applyFill="1" applyBorder="1" applyAlignment="1">
      <alignment horizontal="left"/>
    </xf>
    <xf numFmtId="0" fontId="6" fillId="5" borderId="28" xfId="2" applyFill="1" applyBorder="1" applyAlignment="1">
      <alignment horizontal="left"/>
    </xf>
    <xf numFmtId="0" fontId="0" fillId="3" borderId="33" xfId="0" applyFill="1" applyBorder="1" applyAlignment="1">
      <alignment vertical="center" wrapText="1"/>
    </xf>
    <xf numFmtId="0" fontId="0" fillId="3" borderId="32" xfId="0" applyFill="1" applyBorder="1" applyAlignment="1">
      <alignment vertical="center" wrapText="1"/>
    </xf>
    <xf numFmtId="0" fontId="2" fillId="3" borderId="33" xfId="0" applyFont="1" applyFill="1" applyBorder="1" applyAlignment="1">
      <alignment vertical="center" wrapText="1"/>
    </xf>
    <xf numFmtId="0" fontId="2" fillId="3" borderId="32" xfId="0" applyFont="1" applyFill="1" applyBorder="1" applyAlignment="1">
      <alignment vertical="center" wrapText="1"/>
    </xf>
    <xf numFmtId="0" fontId="12" fillId="3" borderId="9" xfId="1" applyFont="1" applyFill="1" applyBorder="1" applyAlignment="1">
      <alignment horizontal="left" vertical="top" wrapText="1"/>
    </xf>
    <xf numFmtId="0" fontId="12" fillId="3" borderId="10" xfId="1" applyFont="1" applyFill="1" applyBorder="1" applyAlignment="1">
      <alignment horizontal="left" vertical="top" wrapText="1"/>
    </xf>
    <xf numFmtId="0" fontId="0" fillId="3" borderId="17" xfId="0" applyFill="1" applyBorder="1" applyAlignment="1">
      <alignment horizontal="left" vertical="top" wrapText="1"/>
    </xf>
    <xf numFmtId="0" fontId="0" fillId="3" borderId="29" xfId="0" applyFill="1" applyBorder="1" applyAlignment="1">
      <alignment horizontal="left" vertical="top" wrapText="1"/>
    </xf>
    <xf numFmtId="0" fontId="0" fillId="3" borderId="18" xfId="0" applyFill="1" applyBorder="1" applyAlignment="1">
      <alignment horizontal="left" vertical="top" wrapText="1"/>
    </xf>
    <xf numFmtId="0" fontId="8" fillId="3" borderId="9"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8" fillId="3" borderId="12" xfId="0" applyFont="1" applyFill="1" applyBorder="1" applyAlignment="1">
      <alignment horizontal="left" vertical="top" wrapText="1"/>
    </xf>
    <xf numFmtId="0" fontId="8" fillId="3" borderId="0" xfId="0" applyFont="1" applyFill="1" applyAlignment="1">
      <alignment horizontal="left" vertical="top" wrapText="1"/>
    </xf>
    <xf numFmtId="0" fontId="8" fillId="3" borderId="13" xfId="0" applyFont="1" applyFill="1" applyBorder="1" applyAlignment="1">
      <alignment horizontal="left" vertical="top" wrapText="1"/>
    </xf>
    <xf numFmtId="0" fontId="8" fillId="3" borderId="14" xfId="0" applyFont="1" applyFill="1" applyBorder="1" applyAlignment="1">
      <alignment horizontal="left" vertical="top" wrapText="1"/>
    </xf>
    <xf numFmtId="0" fontId="8" fillId="3" borderId="15" xfId="0" applyFont="1" applyFill="1" applyBorder="1" applyAlignment="1">
      <alignment horizontal="left" vertical="top" wrapText="1"/>
    </xf>
    <xf numFmtId="0" fontId="8" fillId="3" borderId="16" xfId="0" applyFont="1" applyFill="1" applyBorder="1" applyAlignment="1">
      <alignment horizontal="left" vertical="top" wrapText="1"/>
    </xf>
    <xf numFmtId="0" fontId="17" fillId="0" borderId="17" xfId="0" applyFont="1" applyBorder="1" applyAlignment="1">
      <alignment horizontal="left" vertical="center"/>
    </xf>
    <xf numFmtId="0" fontId="17" fillId="0" borderId="29" xfId="0" applyFont="1" applyBorder="1" applyAlignment="1">
      <alignment horizontal="left" vertical="center"/>
    </xf>
    <xf numFmtId="0" fontId="17" fillId="0" borderId="17" xfId="0" applyFont="1" applyBorder="1" applyAlignment="1">
      <alignment horizontal="left" vertical="top" wrapText="1"/>
    </xf>
    <xf numFmtId="0" fontId="17" fillId="0" borderId="29" xfId="0" applyFont="1" applyBorder="1" applyAlignment="1">
      <alignment horizontal="left" vertical="top" wrapText="1"/>
    </xf>
    <xf numFmtId="0" fontId="17" fillId="0" borderId="18" xfId="0" applyFont="1" applyBorder="1" applyAlignment="1">
      <alignment horizontal="left" vertical="top" wrapText="1"/>
    </xf>
  </cellXfs>
  <cellStyles count="7">
    <cellStyle name="CellNum" xfId="5" xr:uid="{8E36F4BE-35EB-4494-B21D-F0CD20D8369F}"/>
    <cellStyle name="Comma 2" xfId="3" xr:uid="{8AEFC96A-2918-4B6C-85BB-432DBFCC57F1}"/>
    <cellStyle name="Heading 1" xfId="1" builtinId="16"/>
    <cellStyle name="Hyperlink" xfId="2" builtinId="8"/>
    <cellStyle name="Normal" xfId="0" builtinId="0"/>
    <cellStyle name="Normal 16" xfId="6" xr:uid="{73E59D50-56EE-430C-8FC4-DBD495B80242}"/>
    <cellStyle name="Normal 2" xfId="4" xr:uid="{BE3E522F-FB4F-48D5-B671-D032C19FD05B}"/>
  </cellStyles>
  <dxfs count="0"/>
  <tableStyles count="0" defaultTableStyle="TableStyleMedium2" defaultPivotStyle="PivotStyleLight16"/>
  <colors>
    <mruColors>
      <color rgb="FFEBE9E8"/>
      <color rgb="FFFAF9F9"/>
      <color rgb="FFFEFDFD"/>
      <color rgb="FFF0EEED"/>
      <color rgb="FFF5F3F2"/>
      <color rgb="FFFDFBFB"/>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15</xdr:col>
      <xdr:colOff>257175</xdr:colOff>
      <xdr:row>18</xdr:row>
      <xdr:rowOff>180975</xdr:rowOff>
    </xdr:from>
    <xdr:ext cx="184731" cy="264560"/>
    <xdr:sp macro="" textlink="">
      <xdr:nvSpPr>
        <xdr:cNvPr id="3" name="TextBox 2">
          <a:extLst>
            <a:ext uri="{FF2B5EF4-FFF2-40B4-BE49-F238E27FC236}">
              <a16:creationId xmlns:a16="http://schemas.microsoft.com/office/drawing/2014/main" id="{BF62F3FD-5645-7636-07CC-FC8BCA9A7616}"/>
            </a:ext>
          </a:extLst>
        </xdr:cNvPr>
        <xdr:cNvSpPr txBox="1"/>
      </xdr:nvSpPr>
      <xdr:spPr>
        <a:xfrm>
          <a:off x="11525250" y="411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aemo.com.au/Gas/National-planning-and-forecasting/Gas-Statement-of-Opportunit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H34"/>
  <sheetViews>
    <sheetView tabSelected="1" workbookViewId="0"/>
  </sheetViews>
  <sheetFormatPr defaultColWidth="9" defaultRowHeight="15" x14ac:dyDescent="0.25"/>
  <cols>
    <col min="1" max="1" width="9" style="3"/>
    <col min="2" max="2" width="6.42578125" style="4" customWidth="1"/>
    <col min="3" max="3" width="31.42578125" style="4" customWidth="1"/>
    <col min="4" max="4" width="59.42578125" style="4" customWidth="1"/>
    <col min="5" max="5" width="13.85546875" style="4" customWidth="1"/>
    <col min="6" max="16384" width="9" style="4"/>
  </cols>
  <sheetData>
    <row r="1" spans="1:8" s="2" customFormat="1" x14ac:dyDescent="0.25">
      <c r="A1" s="1"/>
    </row>
    <row r="2" spans="1:8" ht="26.25" x14ac:dyDescent="0.4">
      <c r="B2" s="10" t="s">
        <v>0</v>
      </c>
      <c r="C2" s="10"/>
      <c r="D2" s="10"/>
    </row>
    <row r="3" spans="1:8" x14ac:dyDescent="0.25">
      <c r="B3" s="6"/>
      <c r="C3" s="6"/>
      <c r="D3" s="6"/>
    </row>
    <row r="4" spans="1:8" ht="30" customHeight="1" x14ac:dyDescent="0.25">
      <c r="B4" s="7">
        <v>1</v>
      </c>
      <c r="C4" s="27" t="s">
        <v>1</v>
      </c>
      <c r="D4" s="25" t="s">
        <v>2</v>
      </c>
      <c r="E4" s="5"/>
      <c r="F4" s="5"/>
      <c r="G4" s="5"/>
      <c r="H4" s="5"/>
    </row>
    <row r="5" spans="1:8" ht="30" customHeight="1" x14ac:dyDescent="0.25">
      <c r="B5" s="7">
        <v>2</v>
      </c>
      <c r="C5" s="27" t="s">
        <v>3</v>
      </c>
      <c r="D5" s="25" t="s">
        <v>4</v>
      </c>
      <c r="E5" s="5"/>
      <c r="F5" s="5"/>
      <c r="G5" s="5"/>
      <c r="H5" s="5"/>
    </row>
    <row r="6" spans="1:8" ht="30" customHeight="1" x14ac:dyDescent="0.25">
      <c r="B6" s="7">
        <v>3</v>
      </c>
      <c r="C6" s="27" t="s">
        <v>5</v>
      </c>
      <c r="D6" s="25" t="s">
        <v>6</v>
      </c>
      <c r="E6" s="5"/>
      <c r="F6" s="5"/>
      <c r="G6" s="5"/>
      <c r="H6" s="5"/>
    </row>
    <row r="7" spans="1:8" ht="30" customHeight="1" x14ac:dyDescent="0.25">
      <c r="B7" s="7">
        <v>4</v>
      </c>
      <c r="C7" s="27" t="s">
        <v>7</v>
      </c>
      <c r="D7" s="25" t="s">
        <v>8</v>
      </c>
      <c r="E7" s="5"/>
      <c r="F7" s="5"/>
      <c r="G7" s="5"/>
      <c r="H7" s="5"/>
    </row>
    <row r="8" spans="1:8" ht="30" customHeight="1" x14ac:dyDescent="0.25">
      <c r="B8" s="7">
        <v>5</v>
      </c>
      <c r="C8" s="27" t="s">
        <v>9</v>
      </c>
      <c r="D8" s="25" t="s">
        <v>10</v>
      </c>
      <c r="E8" s="5"/>
      <c r="F8" s="5"/>
      <c r="G8" s="5"/>
      <c r="H8" s="5"/>
    </row>
    <row r="11" spans="1:8" ht="26.25" x14ac:dyDescent="0.4">
      <c r="B11" s="10" t="s">
        <v>11</v>
      </c>
      <c r="C11" s="10"/>
      <c r="D11" s="10"/>
    </row>
    <row r="13" spans="1:8" ht="52.5" customHeight="1" x14ac:dyDescent="0.25">
      <c r="B13" s="98" t="s">
        <v>95</v>
      </c>
      <c r="C13" s="98"/>
      <c r="D13" s="98"/>
      <c r="H13" s="26"/>
    </row>
    <row r="14" spans="1:8" x14ac:dyDescent="0.25">
      <c r="B14" s="100" t="s">
        <v>12</v>
      </c>
      <c r="C14" s="101"/>
      <c r="D14" s="102"/>
    </row>
    <row r="16" spans="1:8" ht="26.25" x14ac:dyDescent="0.4">
      <c r="B16" s="99" t="s">
        <v>1</v>
      </c>
      <c r="C16" s="99"/>
      <c r="D16" s="99"/>
    </row>
    <row r="17" spans="1:5" ht="14.25" customHeight="1" x14ac:dyDescent="0.4">
      <c r="B17" s="9"/>
      <c r="C17" s="9"/>
      <c r="D17" s="9"/>
    </row>
    <row r="18" spans="1:5" ht="14.25" customHeight="1" x14ac:dyDescent="0.25">
      <c r="B18" s="4" t="s">
        <v>13</v>
      </c>
    </row>
    <row r="19" spans="1:5" x14ac:dyDescent="0.25">
      <c r="A19" s="4"/>
      <c r="B19" s="4" t="s">
        <v>14</v>
      </c>
    </row>
    <row r="22" spans="1:5" ht="26.25" x14ac:dyDescent="0.4">
      <c r="B22" s="10" t="s">
        <v>15</v>
      </c>
      <c r="C22" s="10"/>
      <c r="D22" s="10"/>
    </row>
    <row r="24" spans="1:5" x14ac:dyDescent="0.25">
      <c r="B24" s="8" t="s">
        <v>16</v>
      </c>
      <c r="C24" s="8"/>
      <c r="D24" s="8" t="s">
        <v>17</v>
      </c>
    </row>
    <row r="25" spans="1:5" ht="14.1" customHeight="1" x14ac:dyDescent="0.25">
      <c r="B25" s="96" t="s">
        <v>5</v>
      </c>
      <c r="C25" s="97"/>
      <c r="D25" s="23" t="s">
        <v>18</v>
      </c>
    </row>
    <row r="26" spans="1:5" ht="14.1" customHeight="1" x14ac:dyDescent="0.25">
      <c r="B26" s="96" t="s">
        <v>7</v>
      </c>
      <c r="C26" s="97"/>
      <c r="D26" s="23" t="s">
        <v>19</v>
      </c>
    </row>
    <row r="27" spans="1:5" ht="14.1" customHeight="1" x14ac:dyDescent="0.25">
      <c r="B27" s="96" t="s">
        <v>9</v>
      </c>
      <c r="C27" s="97"/>
      <c r="D27" s="39" t="s">
        <v>20</v>
      </c>
    </row>
    <row r="29" spans="1:5" ht="26.25" x14ac:dyDescent="0.4">
      <c r="B29" s="10" t="s">
        <v>21</v>
      </c>
      <c r="C29" s="10"/>
      <c r="D29" s="10"/>
    </row>
    <row r="31" spans="1:5" x14ac:dyDescent="0.25">
      <c r="B31" s="8" t="s">
        <v>22</v>
      </c>
      <c r="C31" s="8"/>
      <c r="D31" s="8" t="s">
        <v>23</v>
      </c>
      <c r="E31" s="8" t="s">
        <v>24</v>
      </c>
    </row>
    <row r="32" spans="1:5" x14ac:dyDescent="0.25">
      <c r="B32" s="92">
        <v>1</v>
      </c>
      <c r="C32" s="93"/>
      <c r="D32" s="23" t="s">
        <v>25</v>
      </c>
      <c r="E32" s="68">
        <v>46107</v>
      </c>
    </row>
    <row r="33" spans="2:5" x14ac:dyDescent="0.25">
      <c r="B33" s="94"/>
      <c r="C33" s="95"/>
      <c r="D33" s="23"/>
      <c r="E33" s="69"/>
    </row>
    <row r="34" spans="2:5" x14ac:dyDescent="0.25">
      <c r="E34" s="67"/>
    </row>
  </sheetData>
  <mergeCells count="8">
    <mergeCell ref="B32:C32"/>
    <mergeCell ref="B33:C33"/>
    <mergeCell ref="B26:C26"/>
    <mergeCell ref="B27:C27"/>
    <mergeCell ref="B13:D13"/>
    <mergeCell ref="B16:D16"/>
    <mergeCell ref="B14:D14"/>
    <mergeCell ref="B25:C25"/>
  </mergeCells>
  <hyperlinks>
    <hyperlink ref="B14" r:id="rId1" xr:uid="{00000000-0004-0000-0000-000000000000}"/>
    <hyperlink ref="C6" location="'Reserves and Resources'!A1" display="Reserves and resources" xr:uid="{00000000-0004-0000-0000-000001000000}"/>
    <hyperlink ref="C7" location="'Production Costs'!A1" display="Production costs" xr:uid="{00000000-0004-0000-0000-000002000000}"/>
    <hyperlink ref="C8" location="'Pipeline Transmission Tariffs'!A1" display="Pipeline transmission tariffs" xr:uid="{00000000-0004-0000-0000-000003000000}"/>
    <hyperlink ref="C4" location="Disclaimer!A1" display="Disclaimer" xr:uid="{00000000-0004-0000-0000-000004000000}"/>
    <hyperlink ref="C5" location="'Measures, Acronyms &amp; Glossary'!A1" display="Measures, Acryonyms &amp; Glossary" xr:uid="{130212ED-5B85-4874-B2A9-2A4318BC73C3}"/>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H51"/>
  <sheetViews>
    <sheetView workbookViewId="0"/>
  </sheetViews>
  <sheetFormatPr defaultColWidth="9" defaultRowHeight="15" x14ac:dyDescent="0.25"/>
  <cols>
    <col min="1" max="1" width="9" style="11"/>
    <col min="2" max="2" width="101.5703125" style="11" customWidth="1"/>
    <col min="3" max="3" width="27.42578125" style="11" customWidth="1"/>
    <col min="4" max="4" width="57.42578125" style="11" customWidth="1"/>
    <col min="5" max="16384" width="9" style="11"/>
  </cols>
  <sheetData>
    <row r="1" spans="1:8" x14ac:dyDescent="0.25">
      <c r="A1" s="16"/>
      <c r="D1" s="17"/>
      <c r="E1" s="17"/>
      <c r="F1" s="17"/>
      <c r="G1" s="17"/>
      <c r="H1" s="18"/>
    </row>
    <row r="2" spans="1:8" ht="26.25" x14ac:dyDescent="0.4">
      <c r="A2" s="16"/>
      <c r="B2" s="14" t="s">
        <v>26</v>
      </c>
      <c r="D2" s="17"/>
      <c r="E2" s="17"/>
      <c r="F2" s="17"/>
      <c r="G2" s="17"/>
      <c r="H2" s="18"/>
    </row>
    <row r="3" spans="1:8" ht="18" customHeight="1" x14ac:dyDescent="0.4">
      <c r="A3" s="15"/>
      <c r="B3" s="14"/>
      <c r="D3" s="17"/>
      <c r="E3" s="17"/>
      <c r="F3" s="17"/>
      <c r="G3" s="15"/>
      <c r="H3" s="18"/>
    </row>
    <row r="4" spans="1:8" ht="18.75" x14ac:dyDescent="0.3">
      <c r="A4" s="19"/>
      <c r="B4" s="22" t="s">
        <v>27</v>
      </c>
      <c r="G4" s="15"/>
    </row>
    <row r="5" spans="1:8" ht="30.75" customHeight="1" x14ac:dyDescent="0.25">
      <c r="A5" s="19"/>
      <c r="B5" s="12" t="s">
        <v>92</v>
      </c>
      <c r="G5" s="15"/>
    </row>
    <row r="6" spans="1:8" x14ac:dyDescent="0.25">
      <c r="A6" s="19"/>
      <c r="G6" s="15"/>
    </row>
    <row r="7" spans="1:8" ht="18.75" x14ac:dyDescent="0.3">
      <c r="A7" s="19"/>
      <c r="B7" s="22" t="s">
        <v>1</v>
      </c>
      <c r="G7" s="15"/>
    </row>
    <row r="8" spans="1:8" ht="30" x14ac:dyDescent="0.25">
      <c r="A8" s="19"/>
      <c r="B8" s="12" t="s">
        <v>28</v>
      </c>
      <c r="G8" s="15"/>
    </row>
    <row r="9" spans="1:8" s="90" customFormat="1" x14ac:dyDescent="0.25">
      <c r="B9" s="91"/>
      <c r="G9" s="15"/>
    </row>
    <row r="10" spans="1:8" s="85" customFormat="1" ht="45" x14ac:dyDescent="0.25">
      <c r="B10" s="86" t="s">
        <v>106</v>
      </c>
    </row>
    <row r="11" spans="1:8" s="85" customFormat="1" x14ac:dyDescent="0.25"/>
    <row r="12" spans="1:8" s="85" customFormat="1" ht="46.5" customHeight="1" x14ac:dyDescent="0.25">
      <c r="B12" s="86" t="s">
        <v>29</v>
      </c>
    </row>
    <row r="13" spans="1:8" s="85" customFormat="1" x14ac:dyDescent="0.25">
      <c r="B13" s="86"/>
    </row>
    <row r="14" spans="1:8" s="85" customFormat="1" ht="29.25" customHeight="1" x14ac:dyDescent="0.25">
      <c r="B14" s="86" t="s">
        <v>102</v>
      </c>
    </row>
    <row r="15" spans="1:8" s="85" customFormat="1" x14ac:dyDescent="0.25"/>
    <row r="16" spans="1:8" s="85" customFormat="1" ht="42.75" customHeight="1" x14ac:dyDescent="0.25">
      <c r="B16" s="86" t="s">
        <v>103</v>
      </c>
    </row>
    <row r="17" spans="1:7" s="85" customFormat="1" x14ac:dyDescent="0.25"/>
    <row r="18" spans="1:7" s="85" customFormat="1" ht="30" x14ac:dyDescent="0.25">
      <c r="B18" s="87" t="s">
        <v>30</v>
      </c>
    </row>
    <row r="19" spans="1:7" s="85" customFormat="1" ht="30" x14ac:dyDescent="0.25">
      <c r="B19" s="88" t="s">
        <v>104</v>
      </c>
    </row>
    <row r="20" spans="1:7" s="85" customFormat="1" ht="45" customHeight="1" x14ac:dyDescent="0.25">
      <c r="B20" s="89" t="s">
        <v>105</v>
      </c>
    </row>
    <row r="21" spans="1:7" x14ac:dyDescent="0.25">
      <c r="A21" s="19"/>
      <c r="G21" s="15"/>
    </row>
    <row r="22" spans="1:7" ht="18.75" x14ac:dyDescent="0.3">
      <c r="A22" s="19"/>
      <c r="B22" s="22" t="s">
        <v>31</v>
      </c>
      <c r="G22" s="15"/>
    </row>
    <row r="23" spans="1:7" ht="30" x14ac:dyDescent="0.25">
      <c r="A23" s="19"/>
      <c r="B23" s="12" t="s">
        <v>32</v>
      </c>
      <c r="G23" s="15"/>
    </row>
    <row r="24" spans="1:7" x14ac:dyDescent="0.25">
      <c r="A24" s="19"/>
      <c r="G24" s="15"/>
    </row>
    <row r="25" spans="1:7" ht="18.75" x14ac:dyDescent="0.3">
      <c r="B25" s="22" t="s">
        <v>33</v>
      </c>
    </row>
    <row r="26" spans="1:7" ht="30" x14ac:dyDescent="0.25">
      <c r="B26" s="12" t="s">
        <v>96</v>
      </c>
    </row>
    <row r="27" spans="1:7" x14ac:dyDescent="0.25">
      <c r="A27" s="19"/>
      <c r="G27" s="15"/>
    </row>
    <row r="29" spans="1:7" x14ac:dyDescent="0.25">
      <c r="A29" s="19"/>
      <c r="G29" s="15"/>
    </row>
    <row r="30" spans="1:7" x14ac:dyDescent="0.25">
      <c r="A30" s="19"/>
      <c r="G30" s="15"/>
    </row>
    <row r="32" spans="1:7" ht="25.5" customHeight="1" x14ac:dyDescent="0.25">
      <c r="A32" s="19"/>
      <c r="G32" s="15"/>
    </row>
    <row r="33" spans="1:7" x14ac:dyDescent="0.25">
      <c r="A33" s="19"/>
      <c r="G33" s="15"/>
    </row>
    <row r="34" spans="1:7" x14ac:dyDescent="0.25">
      <c r="A34" s="19"/>
      <c r="G34" s="15"/>
    </row>
    <row r="35" spans="1:7" x14ac:dyDescent="0.25">
      <c r="A35" s="19"/>
      <c r="G35" s="15"/>
    </row>
    <row r="36" spans="1:7" x14ac:dyDescent="0.25">
      <c r="A36" s="19"/>
      <c r="G36" s="15"/>
    </row>
    <row r="37" spans="1:7" x14ac:dyDescent="0.25">
      <c r="A37" s="19"/>
      <c r="G37" s="15"/>
    </row>
    <row r="38" spans="1:7" x14ac:dyDescent="0.25">
      <c r="A38" s="19"/>
      <c r="G38" s="15"/>
    </row>
    <row r="39" spans="1:7" ht="14.25" customHeight="1" x14ac:dyDescent="0.25">
      <c r="A39" s="19"/>
      <c r="G39" s="15"/>
    </row>
    <row r="40" spans="1:7" x14ac:dyDescent="0.25">
      <c r="A40" s="19"/>
      <c r="G40" s="15"/>
    </row>
    <row r="41" spans="1:7" x14ac:dyDescent="0.25">
      <c r="A41" s="21"/>
      <c r="G41" s="20"/>
    </row>
    <row r="44" spans="1:7" ht="14.25" customHeight="1" x14ac:dyDescent="0.25"/>
    <row r="46" spans="1:7" ht="14.25" customHeight="1" x14ac:dyDescent="0.25"/>
    <row r="47" spans="1:7" ht="14.25" customHeight="1" x14ac:dyDescent="0.25"/>
    <row r="48" spans="1:7" ht="14.25" customHeight="1" x14ac:dyDescent="0.25"/>
    <row r="49" ht="30" customHeight="1" x14ac:dyDescent="0.25"/>
    <row r="50" ht="30" customHeight="1" x14ac:dyDescent="0.25"/>
    <row r="51" ht="14.25"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1B173-DC65-481B-9C16-CF13E6DE5005}">
  <sheetPr>
    <tabColor theme="5"/>
  </sheetPr>
  <dimension ref="A1:H13"/>
  <sheetViews>
    <sheetView zoomScaleNormal="100" workbookViewId="0"/>
  </sheetViews>
  <sheetFormatPr defaultColWidth="9" defaultRowHeight="15" x14ac:dyDescent="0.25"/>
  <cols>
    <col min="1" max="1" width="9" style="11"/>
    <col min="2" max="2" width="16" style="11" customWidth="1"/>
    <col min="3" max="3" width="27.42578125" style="11" customWidth="1"/>
    <col min="4" max="4" width="57.42578125" style="11" customWidth="1"/>
    <col min="5" max="16384" width="9" style="11"/>
  </cols>
  <sheetData>
    <row r="1" spans="1:8" x14ac:dyDescent="0.25">
      <c r="A1" s="16"/>
      <c r="D1" s="17"/>
      <c r="E1" s="17"/>
      <c r="F1" s="17"/>
      <c r="G1" s="17"/>
      <c r="H1" s="18"/>
    </row>
    <row r="2" spans="1:8" ht="26.25" x14ac:dyDescent="0.4">
      <c r="A2" s="16"/>
      <c r="B2" s="14" t="s">
        <v>34</v>
      </c>
      <c r="D2" s="17"/>
      <c r="E2" s="17"/>
      <c r="F2" s="17"/>
      <c r="G2" s="17"/>
      <c r="H2" s="18"/>
    </row>
    <row r="3" spans="1:8" ht="26.25" x14ac:dyDescent="0.4">
      <c r="A3" s="43"/>
      <c r="B3" s="77"/>
      <c r="C3" s="78"/>
      <c r="D3" s="15"/>
      <c r="E3" s="15"/>
      <c r="F3" s="15"/>
      <c r="G3" s="15"/>
      <c r="H3" s="19"/>
    </row>
    <row r="4" spans="1:8" x14ac:dyDescent="0.25">
      <c r="A4" s="43"/>
      <c r="B4" s="79" t="s">
        <v>35</v>
      </c>
      <c r="C4" s="80" t="s">
        <v>36</v>
      </c>
      <c r="D4" s="15"/>
      <c r="E4" s="15"/>
      <c r="F4" s="15"/>
      <c r="G4" s="15"/>
      <c r="H4" s="19"/>
    </row>
    <row r="5" spans="1:8" x14ac:dyDescent="0.25">
      <c r="A5" s="43"/>
      <c r="B5" s="81" t="s">
        <v>37</v>
      </c>
      <c r="C5" s="82" t="s">
        <v>38</v>
      </c>
      <c r="D5" s="15"/>
      <c r="E5" s="15"/>
      <c r="F5" s="15"/>
      <c r="G5" s="15"/>
      <c r="H5" s="19"/>
    </row>
    <row r="6" spans="1:8" x14ac:dyDescent="0.25">
      <c r="A6" s="43"/>
      <c r="B6" s="81" t="s">
        <v>39</v>
      </c>
      <c r="C6" s="82" t="s">
        <v>40</v>
      </c>
      <c r="D6" s="15"/>
      <c r="E6" s="15"/>
      <c r="F6" s="15"/>
      <c r="G6" s="15"/>
      <c r="H6" s="19"/>
    </row>
    <row r="8" spans="1:8" x14ac:dyDescent="0.25">
      <c r="A8" s="43"/>
      <c r="D8" s="15"/>
      <c r="E8" s="15"/>
      <c r="F8" s="15"/>
      <c r="G8" s="15"/>
      <c r="H8" s="19"/>
    </row>
    <row r="9" spans="1:8" ht="26.25" x14ac:dyDescent="0.4">
      <c r="B9" s="14" t="s">
        <v>41</v>
      </c>
      <c r="C9" s="47"/>
      <c r="D9" s="15"/>
    </row>
    <row r="10" spans="1:8" ht="14.25" customHeight="1" x14ac:dyDescent="0.25"/>
    <row r="11" spans="1:8" x14ac:dyDescent="0.25">
      <c r="B11" s="44" t="s">
        <v>42</v>
      </c>
      <c r="C11" s="105" t="s">
        <v>43</v>
      </c>
      <c r="D11" s="106"/>
    </row>
    <row r="12" spans="1:8" x14ac:dyDescent="0.25">
      <c r="B12" s="45" t="s">
        <v>44</v>
      </c>
      <c r="C12" s="103" t="s">
        <v>45</v>
      </c>
      <c r="D12" s="104"/>
    </row>
    <row r="13" spans="1:8" ht="48.75" customHeight="1" x14ac:dyDescent="0.25">
      <c r="B13" s="45" t="s">
        <v>46</v>
      </c>
      <c r="C13" s="103" t="s">
        <v>47</v>
      </c>
      <c r="D13" s="104"/>
    </row>
  </sheetData>
  <mergeCells count="3">
    <mergeCell ref="C13:D13"/>
    <mergeCell ref="C11:D11"/>
    <mergeCell ref="C12:D1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80AC-3AAB-4298-930E-007F6395D540}">
  <sheetPr>
    <tabColor theme="4"/>
  </sheetPr>
  <dimension ref="A1:P40"/>
  <sheetViews>
    <sheetView zoomScaleNormal="100" workbookViewId="0"/>
  </sheetViews>
  <sheetFormatPr defaultColWidth="9" defaultRowHeight="15" x14ac:dyDescent="0.25"/>
  <cols>
    <col min="1" max="1" width="9" style="11"/>
    <col min="2" max="2" width="24.42578125" style="11" customWidth="1"/>
    <col min="3" max="4" width="18.5703125" style="11" customWidth="1"/>
    <col min="5" max="5" width="21.5703125" style="11" customWidth="1"/>
    <col min="6" max="6" width="9" style="11"/>
    <col min="7" max="7" width="9.5703125" style="11" bestFit="1" customWidth="1"/>
    <col min="8" max="8" width="10.7109375" style="11" bestFit="1" customWidth="1"/>
    <col min="9" max="16384" width="9" style="11"/>
  </cols>
  <sheetData>
    <row r="1" spans="2:16" x14ac:dyDescent="0.25">
      <c r="F1" s="31"/>
      <c r="G1" s="32"/>
      <c r="H1" s="32"/>
      <c r="I1" s="32"/>
      <c r="J1" s="32"/>
      <c r="K1" s="32"/>
      <c r="L1" s="32"/>
      <c r="M1" s="33"/>
    </row>
    <row r="2" spans="2:16" ht="18.75" x14ac:dyDescent="0.3">
      <c r="B2" s="62" t="s">
        <v>48</v>
      </c>
      <c r="C2" s="38"/>
      <c r="F2" s="34"/>
      <c r="G2" s="35"/>
      <c r="H2" s="35"/>
      <c r="I2" s="35"/>
      <c r="J2" s="35"/>
      <c r="K2" s="35"/>
      <c r="L2" s="35"/>
      <c r="M2" s="36"/>
    </row>
    <row r="3" spans="2:16" x14ac:dyDescent="0.25">
      <c r="F3" s="34"/>
      <c r="G3" s="35"/>
      <c r="H3" s="35"/>
      <c r="I3" s="35"/>
      <c r="J3" s="35"/>
      <c r="K3" s="35"/>
      <c r="L3" s="35"/>
      <c r="M3" s="36"/>
    </row>
    <row r="4" spans="2:16" ht="47.25" customHeight="1" x14ac:dyDescent="0.25">
      <c r="B4" s="107" t="s">
        <v>49</v>
      </c>
      <c r="C4" s="108"/>
      <c r="D4" s="108"/>
      <c r="E4" s="108"/>
      <c r="F4" s="28"/>
      <c r="G4" s="29"/>
      <c r="H4" s="29"/>
      <c r="I4" s="29"/>
      <c r="J4" s="29"/>
      <c r="K4" s="29"/>
      <c r="L4" s="29"/>
      <c r="M4" s="30"/>
    </row>
    <row r="5" spans="2:16" ht="18.75" customHeight="1" x14ac:dyDescent="0.3">
      <c r="B5" s="58" t="s">
        <v>39</v>
      </c>
      <c r="C5" s="24"/>
      <c r="D5" s="24"/>
      <c r="E5" s="24"/>
    </row>
    <row r="7" spans="2:16" x14ac:dyDescent="0.25">
      <c r="B7" s="48" t="s">
        <v>50</v>
      </c>
      <c r="C7" s="49" t="s">
        <v>51</v>
      </c>
      <c r="D7" s="48" t="s">
        <v>44</v>
      </c>
    </row>
    <row r="8" spans="2:16" ht="15.75" thickBot="1" x14ac:dyDescent="0.3">
      <c r="B8" s="50" t="s">
        <v>52</v>
      </c>
      <c r="C8" s="51">
        <v>230.01599999999999</v>
      </c>
      <c r="D8" s="51">
        <v>195.4</v>
      </c>
      <c r="E8" s="42"/>
      <c r="F8" s="42"/>
      <c r="L8" s="42"/>
      <c r="M8" s="42"/>
    </row>
    <row r="9" spans="2:16" ht="15.75" thickBot="1" x14ac:dyDescent="0.3">
      <c r="B9" s="52" t="s">
        <v>53</v>
      </c>
      <c r="C9" s="53">
        <v>18.91</v>
      </c>
      <c r="D9" s="53">
        <v>135.4</v>
      </c>
      <c r="E9" s="42"/>
      <c r="F9" s="42"/>
      <c r="L9" s="42"/>
      <c r="M9" s="42"/>
      <c r="N9" s="74"/>
      <c r="O9" s="74"/>
      <c r="P9" s="74"/>
    </row>
    <row r="10" spans="2:16" x14ac:dyDescent="0.25">
      <c r="B10" s="52" t="s">
        <v>54</v>
      </c>
      <c r="C10" s="53" t="s">
        <v>93</v>
      </c>
      <c r="D10" s="53">
        <v>5109.1000000000004</v>
      </c>
      <c r="E10" s="42"/>
      <c r="F10" s="42"/>
      <c r="L10" s="42"/>
      <c r="M10" s="42"/>
      <c r="O10" s="75"/>
    </row>
    <row r="11" spans="2:16" x14ac:dyDescent="0.25">
      <c r="B11" s="52" t="s">
        <v>55</v>
      </c>
      <c r="C11" s="53">
        <v>28910.917000000001</v>
      </c>
      <c r="D11" s="53">
        <v>23270.042000000001</v>
      </c>
      <c r="E11" s="42"/>
      <c r="F11" s="42"/>
      <c r="L11" s="42"/>
      <c r="M11" s="42"/>
      <c r="O11" s="76"/>
      <c r="P11" s="76"/>
    </row>
    <row r="12" spans="2:16" x14ac:dyDescent="0.25">
      <c r="B12" s="52" t="s">
        <v>56</v>
      </c>
      <c r="C12" s="53">
        <v>850.15299999999979</v>
      </c>
      <c r="D12" s="53">
        <v>1602.6719999999993</v>
      </c>
      <c r="E12" s="42"/>
      <c r="F12" s="42"/>
      <c r="L12" s="42"/>
      <c r="M12" s="42"/>
    </row>
    <row r="13" spans="2:16" x14ac:dyDescent="0.25">
      <c r="B13" s="52" t="s">
        <v>57</v>
      </c>
      <c r="C13" s="53" t="s">
        <v>93</v>
      </c>
      <c r="D13" s="53">
        <v>2788</v>
      </c>
      <c r="E13" s="42"/>
      <c r="F13" s="42"/>
      <c r="L13" s="42"/>
      <c r="M13" s="42"/>
    </row>
    <row r="14" spans="2:16" ht="13.5" customHeight="1" x14ac:dyDescent="0.25">
      <c r="B14" s="52" t="s">
        <v>58</v>
      </c>
      <c r="C14" s="53">
        <v>1108.0889999999999</v>
      </c>
      <c r="D14" s="53">
        <v>1992.6299999999999</v>
      </c>
      <c r="E14" s="42"/>
      <c r="F14" s="42"/>
      <c r="L14" s="42"/>
      <c r="M14" s="42"/>
    </row>
    <row r="15" spans="2:16" ht="13.5" customHeight="1" x14ac:dyDescent="0.25">
      <c r="B15" s="52" t="s">
        <v>101</v>
      </c>
      <c r="C15" s="53">
        <v>5.2939999999999996</v>
      </c>
      <c r="D15" s="53">
        <v>2156.194</v>
      </c>
      <c r="E15" s="42"/>
      <c r="F15" s="42"/>
      <c r="L15" s="42"/>
      <c r="M15" s="42"/>
    </row>
    <row r="16" spans="2:16" x14ac:dyDescent="0.25">
      <c r="B16" s="54" t="s">
        <v>59</v>
      </c>
      <c r="C16" s="53" t="s">
        <v>94</v>
      </c>
      <c r="D16" s="53">
        <v>2835.5370000000003</v>
      </c>
      <c r="E16" s="42"/>
      <c r="F16" s="42"/>
      <c r="L16" s="42"/>
      <c r="M16" s="42"/>
    </row>
    <row r="17" spans="1:13" x14ac:dyDescent="0.25">
      <c r="A17" s="41"/>
      <c r="B17" s="55" t="s">
        <v>61</v>
      </c>
      <c r="C17" s="53">
        <v>303.54899999999998</v>
      </c>
      <c r="D17" s="53">
        <v>292.65899999999999</v>
      </c>
      <c r="E17" s="42"/>
      <c r="F17" s="42"/>
      <c r="L17" s="42"/>
      <c r="M17" s="42"/>
    </row>
    <row r="18" spans="1:13" x14ac:dyDescent="0.25">
      <c r="B18" s="56" t="s">
        <v>62</v>
      </c>
      <c r="C18" s="57">
        <f>SUM(C8:C17)</f>
        <v>31426.928</v>
      </c>
      <c r="D18" s="57">
        <f>SUM(D8:D17)</f>
        <v>40377.634000000005</v>
      </c>
      <c r="E18" s="37"/>
    </row>
    <row r="19" spans="1:13" x14ac:dyDescent="0.25">
      <c r="B19" s="11" t="s">
        <v>63</v>
      </c>
    </row>
    <row r="20" spans="1:13" x14ac:dyDescent="0.25">
      <c r="B20" s="63" t="s">
        <v>107</v>
      </c>
      <c r="C20" s="40"/>
    </row>
    <row r="23" spans="1:13" x14ac:dyDescent="0.25">
      <c r="B23" s="37"/>
      <c r="C23" s="37"/>
    </row>
    <row r="24" spans="1:13" x14ac:dyDescent="0.25">
      <c r="B24" s="37"/>
      <c r="C24" s="37"/>
    </row>
    <row r="34" spans="3:6" x14ac:dyDescent="0.25">
      <c r="C34" s="37"/>
      <c r="F34" s="37"/>
    </row>
    <row r="35" spans="3:6" x14ac:dyDescent="0.25">
      <c r="C35" s="37"/>
      <c r="F35" s="37"/>
    </row>
    <row r="36" spans="3:6" x14ac:dyDescent="0.25">
      <c r="D36" s="37"/>
    </row>
    <row r="37" spans="3:6" x14ac:dyDescent="0.25">
      <c r="D37" s="37"/>
    </row>
    <row r="38" spans="3:6" x14ac:dyDescent="0.25">
      <c r="F38" s="37"/>
    </row>
    <row r="39" spans="3:6" x14ac:dyDescent="0.25">
      <c r="C39" s="37"/>
      <c r="F39" s="37"/>
    </row>
    <row r="40" spans="3:6" x14ac:dyDescent="0.25">
      <c r="C40" s="37"/>
    </row>
  </sheetData>
  <mergeCells count="1">
    <mergeCell ref="B4:E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E62C7-FFD0-49BE-AF56-3D3920CD88FA}">
  <sheetPr>
    <tabColor theme="4"/>
  </sheetPr>
  <dimension ref="A2:AD30"/>
  <sheetViews>
    <sheetView workbookViewId="0"/>
  </sheetViews>
  <sheetFormatPr defaultColWidth="9" defaultRowHeight="15" x14ac:dyDescent="0.25"/>
  <cols>
    <col min="1" max="1" width="9" style="11"/>
    <col min="2" max="2" width="24.42578125" style="11" customWidth="1"/>
    <col min="3" max="4" width="18.28515625" style="11" customWidth="1"/>
    <col min="5" max="16384" width="9" style="11"/>
  </cols>
  <sheetData>
    <row r="2" spans="1:14" ht="18" customHeight="1" x14ac:dyDescent="0.3">
      <c r="B2" s="64" t="s">
        <v>64</v>
      </c>
    </row>
    <row r="3" spans="1:14" ht="15" customHeight="1" x14ac:dyDescent="0.3">
      <c r="B3" s="72"/>
      <c r="C3" s="71"/>
      <c r="D3" s="71"/>
      <c r="E3" s="71"/>
      <c r="F3" s="71"/>
      <c r="G3" s="71"/>
      <c r="H3" s="46"/>
    </row>
    <row r="4" spans="1:14" ht="47.25" customHeight="1" x14ac:dyDescent="0.25">
      <c r="B4" s="121" t="s">
        <v>65</v>
      </c>
      <c r="C4" s="122"/>
      <c r="D4" s="122"/>
      <c r="E4" s="122"/>
      <c r="F4" s="122"/>
      <c r="G4" s="122"/>
      <c r="H4" s="66"/>
    </row>
    <row r="5" spans="1:14" ht="18.75" x14ac:dyDescent="0.3">
      <c r="B5" s="58" t="s">
        <v>66</v>
      </c>
      <c r="N5" s="70"/>
    </row>
    <row r="6" spans="1:14" x14ac:dyDescent="0.25">
      <c r="A6" s="38"/>
    </row>
    <row r="7" spans="1:14" x14ac:dyDescent="0.25">
      <c r="A7" s="38"/>
      <c r="B7" s="48" t="s">
        <v>50</v>
      </c>
      <c r="C7" s="49" t="s">
        <v>51</v>
      </c>
      <c r="D7" s="48" t="s">
        <v>44</v>
      </c>
    </row>
    <row r="8" spans="1:14" x14ac:dyDescent="0.25">
      <c r="A8" s="38"/>
      <c r="B8" s="55" t="s">
        <v>52</v>
      </c>
      <c r="C8" s="59" t="s">
        <v>60</v>
      </c>
      <c r="D8" s="59">
        <v>16.940000000000001</v>
      </c>
    </row>
    <row r="9" spans="1:14" x14ac:dyDescent="0.25">
      <c r="A9" s="38"/>
      <c r="B9" s="55" t="s">
        <v>53</v>
      </c>
      <c r="C9" s="59">
        <v>5.72</v>
      </c>
      <c r="D9" s="59">
        <v>15.82</v>
      </c>
    </row>
    <row r="10" spans="1:14" ht="17.25" x14ac:dyDescent="0.25">
      <c r="A10" s="38"/>
      <c r="B10" s="65" t="s">
        <v>67</v>
      </c>
      <c r="C10" s="59" t="s">
        <v>60</v>
      </c>
      <c r="D10" s="59">
        <v>9.15</v>
      </c>
    </row>
    <row r="11" spans="1:14" x14ac:dyDescent="0.25">
      <c r="A11" s="38"/>
      <c r="B11" s="55" t="s">
        <v>55</v>
      </c>
      <c r="C11" s="59">
        <v>3.65</v>
      </c>
      <c r="D11" s="59">
        <v>6.65</v>
      </c>
    </row>
    <row r="12" spans="1:14" x14ac:dyDescent="0.25">
      <c r="A12" s="38"/>
      <c r="B12" s="55" t="s">
        <v>56</v>
      </c>
      <c r="C12" s="59">
        <v>8.4499999999999993</v>
      </c>
      <c r="D12" s="59">
        <v>11.63</v>
      </c>
    </row>
    <row r="13" spans="1:14" x14ac:dyDescent="0.25">
      <c r="A13" s="38"/>
      <c r="B13" s="55" t="s">
        <v>57</v>
      </c>
      <c r="C13" s="59" t="s">
        <v>60</v>
      </c>
      <c r="D13" s="59">
        <v>10.17</v>
      </c>
    </row>
    <row r="14" spans="1:14" x14ac:dyDescent="0.25">
      <c r="A14" s="38"/>
      <c r="B14" s="55" t="s">
        <v>58</v>
      </c>
      <c r="C14" s="59">
        <v>5.16</v>
      </c>
      <c r="D14" s="59">
        <v>15.76</v>
      </c>
    </row>
    <row r="15" spans="1:14" x14ac:dyDescent="0.25">
      <c r="A15" s="38"/>
      <c r="B15" s="55" t="s">
        <v>59</v>
      </c>
      <c r="C15" s="59" t="s">
        <v>60</v>
      </c>
      <c r="D15" s="59">
        <v>9.15</v>
      </c>
    </row>
    <row r="16" spans="1:14" x14ac:dyDescent="0.25">
      <c r="A16" s="38"/>
      <c r="B16" s="55" t="s">
        <v>61</v>
      </c>
      <c r="C16" s="59">
        <v>7.27</v>
      </c>
      <c r="D16" s="59">
        <v>15.62</v>
      </c>
    </row>
    <row r="17" spans="2:30" x14ac:dyDescent="0.25">
      <c r="B17" s="63" t="s">
        <v>68</v>
      </c>
    </row>
    <row r="18" spans="2:30" ht="13.9" customHeight="1" x14ac:dyDescent="0.25">
      <c r="B18" s="112" t="s">
        <v>109</v>
      </c>
      <c r="C18" s="113"/>
      <c r="D18" s="113"/>
      <c r="E18" s="113"/>
      <c r="F18" s="113"/>
      <c r="G18" s="113"/>
      <c r="H18" s="113"/>
      <c r="I18" s="113"/>
      <c r="J18" s="113"/>
      <c r="K18" s="113"/>
      <c r="L18" s="113"/>
      <c r="M18" s="113"/>
      <c r="N18" s="113"/>
      <c r="O18" s="113"/>
      <c r="P18" s="113"/>
      <c r="Q18" s="113"/>
      <c r="R18" s="114"/>
    </row>
    <row r="19" spans="2:30" ht="27" customHeight="1" x14ac:dyDescent="0.25">
      <c r="B19" s="115"/>
      <c r="C19" s="116"/>
      <c r="D19" s="116"/>
      <c r="E19" s="116"/>
      <c r="F19" s="116"/>
      <c r="G19" s="116"/>
      <c r="H19" s="116"/>
      <c r="I19" s="116"/>
      <c r="J19" s="116"/>
      <c r="K19" s="116"/>
      <c r="L19" s="116"/>
      <c r="M19" s="116"/>
      <c r="N19" s="116"/>
      <c r="O19" s="116"/>
      <c r="P19" s="116"/>
      <c r="Q19" s="116"/>
      <c r="R19" s="117"/>
      <c r="S19"/>
    </row>
    <row r="20" spans="2:30" x14ac:dyDescent="0.25">
      <c r="B20" s="115"/>
      <c r="C20" s="116"/>
      <c r="D20" s="116"/>
      <c r="E20" s="116"/>
      <c r="F20" s="116"/>
      <c r="G20" s="116"/>
      <c r="H20" s="116"/>
      <c r="I20" s="116"/>
      <c r="J20" s="116"/>
      <c r="K20" s="116"/>
      <c r="L20" s="116"/>
      <c r="M20" s="116"/>
      <c r="N20" s="116"/>
      <c r="O20" s="116"/>
      <c r="P20" s="116"/>
      <c r="Q20" s="116"/>
      <c r="R20" s="117"/>
    </row>
    <row r="21" spans="2:30" x14ac:dyDescent="0.25">
      <c r="B21" s="115"/>
      <c r="C21" s="116"/>
      <c r="D21" s="116"/>
      <c r="E21" s="116"/>
      <c r="F21" s="116"/>
      <c r="G21" s="116"/>
      <c r="H21" s="116"/>
      <c r="I21" s="116"/>
      <c r="J21" s="116"/>
      <c r="K21" s="116"/>
      <c r="L21" s="116"/>
      <c r="M21" s="116"/>
      <c r="N21" s="116"/>
      <c r="O21" s="116"/>
      <c r="P21" s="116"/>
      <c r="Q21" s="116"/>
      <c r="R21" s="117"/>
      <c r="S21"/>
      <c r="AD21" s="11" t="s">
        <v>100</v>
      </c>
    </row>
    <row r="22" spans="2:30" x14ac:dyDescent="0.25">
      <c r="B22" s="115"/>
      <c r="C22" s="116"/>
      <c r="D22" s="116"/>
      <c r="E22" s="116"/>
      <c r="F22" s="116"/>
      <c r="G22" s="116"/>
      <c r="H22" s="116"/>
      <c r="I22" s="116"/>
      <c r="J22" s="116"/>
      <c r="K22" s="116"/>
      <c r="L22" s="116"/>
      <c r="M22" s="116"/>
      <c r="N22" s="116"/>
      <c r="O22" s="116"/>
      <c r="P22" s="116"/>
      <c r="Q22" s="116"/>
      <c r="R22" s="117"/>
    </row>
    <row r="23" spans="2:30" ht="14.25" customHeight="1" x14ac:dyDescent="0.25">
      <c r="B23" s="115"/>
      <c r="C23" s="116"/>
      <c r="D23" s="116"/>
      <c r="E23" s="116"/>
      <c r="F23" s="116"/>
      <c r="G23" s="116"/>
      <c r="H23" s="116"/>
      <c r="I23" s="116"/>
      <c r="J23" s="116"/>
      <c r="K23" s="116"/>
      <c r="L23" s="116"/>
      <c r="M23" s="116"/>
      <c r="N23" s="116"/>
      <c r="O23" s="116"/>
      <c r="P23" s="116"/>
      <c r="Q23" s="116"/>
      <c r="R23" s="117"/>
    </row>
    <row r="24" spans="2:30" x14ac:dyDescent="0.25">
      <c r="B24" s="115"/>
      <c r="C24" s="116"/>
      <c r="D24" s="116"/>
      <c r="E24" s="116"/>
      <c r="F24" s="116"/>
      <c r="G24" s="116"/>
      <c r="H24" s="116"/>
      <c r="I24" s="116"/>
      <c r="J24" s="116"/>
      <c r="K24" s="116"/>
      <c r="L24" s="116"/>
      <c r="M24" s="116"/>
      <c r="N24" s="116"/>
      <c r="O24" s="116"/>
      <c r="P24" s="116"/>
      <c r="Q24" s="116"/>
      <c r="R24" s="117"/>
    </row>
    <row r="25" spans="2:30" x14ac:dyDescent="0.25">
      <c r="B25" s="115"/>
      <c r="C25" s="116"/>
      <c r="D25" s="116"/>
      <c r="E25" s="116"/>
      <c r="F25" s="116"/>
      <c r="G25" s="116"/>
      <c r="H25" s="116"/>
      <c r="I25" s="116"/>
      <c r="J25" s="116"/>
      <c r="K25" s="116"/>
      <c r="L25" s="116"/>
      <c r="M25" s="116"/>
      <c r="N25" s="116"/>
      <c r="O25" s="116"/>
      <c r="P25" s="116"/>
      <c r="Q25" s="116"/>
      <c r="R25" s="117"/>
    </row>
    <row r="26" spans="2:30" x14ac:dyDescent="0.25">
      <c r="B26" s="115"/>
      <c r="C26" s="116"/>
      <c r="D26" s="116"/>
      <c r="E26" s="116"/>
      <c r="F26" s="116"/>
      <c r="G26" s="116"/>
      <c r="H26" s="116"/>
      <c r="I26" s="116"/>
      <c r="J26" s="116"/>
      <c r="K26" s="116"/>
      <c r="L26" s="116"/>
      <c r="M26" s="116"/>
      <c r="N26" s="116"/>
      <c r="O26" s="116"/>
      <c r="P26" s="116"/>
      <c r="Q26" s="116"/>
      <c r="R26" s="117"/>
    </row>
    <row r="27" spans="2:30" x14ac:dyDescent="0.25">
      <c r="B27" s="115"/>
      <c r="C27" s="116"/>
      <c r="D27" s="116"/>
      <c r="E27" s="116"/>
      <c r="F27" s="116"/>
      <c r="G27" s="116"/>
      <c r="H27" s="116"/>
      <c r="I27" s="116"/>
      <c r="J27" s="116"/>
      <c r="K27" s="116"/>
      <c r="L27" s="116"/>
      <c r="M27" s="116"/>
      <c r="N27" s="116"/>
      <c r="O27" s="116"/>
      <c r="P27" s="116"/>
      <c r="Q27" s="116"/>
      <c r="R27" s="117"/>
    </row>
    <row r="28" spans="2:30" x14ac:dyDescent="0.25">
      <c r="B28" s="115"/>
      <c r="C28" s="116"/>
      <c r="D28" s="116"/>
      <c r="E28" s="116"/>
      <c r="F28" s="116"/>
      <c r="G28" s="116"/>
      <c r="H28" s="116"/>
      <c r="I28" s="116"/>
      <c r="J28" s="116"/>
      <c r="K28" s="116"/>
      <c r="L28" s="116"/>
      <c r="M28" s="116"/>
      <c r="N28" s="116"/>
      <c r="O28" s="116"/>
      <c r="P28" s="116"/>
      <c r="Q28" s="116"/>
      <c r="R28" s="117"/>
      <c r="S28" s="83"/>
    </row>
    <row r="29" spans="2:30" x14ac:dyDescent="0.25">
      <c r="B29" s="118"/>
      <c r="C29" s="119"/>
      <c r="D29" s="119"/>
      <c r="E29" s="119"/>
      <c r="F29" s="119"/>
      <c r="G29" s="119"/>
      <c r="H29" s="119"/>
      <c r="I29" s="119"/>
      <c r="J29" s="119"/>
      <c r="K29" s="119"/>
      <c r="L29" s="119"/>
      <c r="M29" s="119"/>
      <c r="N29" s="119"/>
      <c r="O29" s="119"/>
      <c r="P29" s="119"/>
      <c r="Q29" s="119"/>
      <c r="R29" s="120"/>
      <c r="S29" s="84"/>
    </row>
    <row r="30" spans="2:30" ht="18" customHeight="1" x14ac:dyDescent="0.25">
      <c r="B30" s="109"/>
      <c r="C30" s="110"/>
      <c r="D30" s="110"/>
      <c r="E30" s="110"/>
      <c r="F30" s="110"/>
      <c r="G30" s="110"/>
      <c r="H30" s="111"/>
    </row>
  </sheetData>
  <mergeCells count="3">
    <mergeCell ref="B30:H30"/>
    <mergeCell ref="B18:R29"/>
    <mergeCell ref="B4:G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DF7A-9B46-4D56-B01C-177941D37601}">
  <sheetPr>
    <tabColor theme="4"/>
  </sheetPr>
  <dimension ref="B2:W26"/>
  <sheetViews>
    <sheetView zoomScaleNormal="100" workbookViewId="0"/>
  </sheetViews>
  <sheetFormatPr defaultColWidth="9" defaultRowHeight="15" x14ac:dyDescent="0.25"/>
  <cols>
    <col min="1" max="1" width="9" style="11" customWidth="1"/>
    <col min="2" max="3" width="18.140625" style="11" customWidth="1"/>
    <col min="4" max="22" width="9.140625" style="11" customWidth="1"/>
    <col min="23" max="16384" width="9" style="11"/>
  </cols>
  <sheetData>
    <row r="2" spans="2:23" ht="18.75" customHeight="1" x14ac:dyDescent="0.4">
      <c r="B2" s="22" t="s">
        <v>69</v>
      </c>
      <c r="C2" s="14"/>
    </row>
    <row r="3" spans="2:23" ht="54" customHeight="1" x14ac:dyDescent="0.25">
      <c r="B3" s="123" t="s">
        <v>108</v>
      </c>
      <c r="C3" s="124"/>
      <c r="D3" s="124"/>
      <c r="E3" s="124"/>
      <c r="F3" s="124"/>
      <c r="G3" s="124"/>
      <c r="H3" s="124"/>
      <c r="I3" s="124"/>
      <c r="J3" s="125"/>
    </row>
    <row r="4" spans="2:23" ht="26.25" x14ac:dyDescent="0.4">
      <c r="B4" s="58" t="s">
        <v>66</v>
      </c>
      <c r="C4" s="13"/>
    </row>
    <row r="6" spans="2:23" x14ac:dyDescent="0.25">
      <c r="B6" s="60" t="s">
        <v>70</v>
      </c>
      <c r="C6" s="60" t="s">
        <v>71</v>
      </c>
      <c r="D6" s="60">
        <v>2026</v>
      </c>
      <c r="E6" s="60">
        <f>D6+1</f>
        <v>2027</v>
      </c>
      <c r="F6" s="60">
        <f t="shared" ref="F6:W6" si="0">E6+1</f>
        <v>2028</v>
      </c>
      <c r="G6" s="60">
        <f t="shared" si="0"/>
        <v>2029</v>
      </c>
      <c r="H6" s="60">
        <f t="shared" si="0"/>
        <v>2030</v>
      </c>
      <c r="I6" s="60">
        <f t="shared" si="0"/>
        <v>2031</v>
      </c>
      <c r="J6" s="60">
        <f t="shared" si="0"/>
        <v>2032</v>
      </c>
      <c r="K6" s="60">
        <f t="shared" si="0"/>
        <v>2033</v>
      </c>
      <c r="L6" s="60">
        <f t="shared" si="0"/>
        <v>2034</v>
      </c>
      <c r="M6" s="60">
        <f t="shared" si="0"/>
        <v>2035</v>
      </c>
      <c r="N6" s="60">
        <f t="shared" si="0"/>
        <v>2036</v>
      </c>
      <c r="O6" s="60">
        <f t="shared" si="0"/>
        <v>2037</v>
      </c>
      <c r="P6" s="60">
        <f t="shared" si="0"/>
        <v>2038</v>
      </c>
      <c r="Q6" s="60">
        <f t="shared" si="0"/>
        <v>2039</v>
      </c>
      <c r="R6" s="60">
        <f t="shared" si="0"/>
        <v>2040</v>
      </c>
      <c r="S6" s="60">
        <f t="shared" si="0"/>
        <v>2041</v>
      </c>
      <c r="T6" s="60">
        <f t="shared" si="0"/>
        <v>2042</v>
      </c>
      <c r="U6" s="60">
        <f t="shared" si="0"/>
        <v>2043</v>
      </c>
      <c r="V6" s="60">
        <f t="shared" si="0"/>
        <v>2044</v>
      </c>
      <c r="W6" s="60">
        <f t="shared" si="0"/>
        <v>2045</v>
      </c>
    </row>
    <row r="7" spans="2:23" x14ac:dyDescent="0.25">
      <c r="B7" s="55" t="s">
        <v>99</v>
      </c>
      <c r="C7" s="55" t="s">
        <v>73</v>
      </c>
      <c r="D7" s="61">
        <v>0.4</v>
      </c>
      <c r="E7" s="61">
        <v>0.4</v>
      </c>
      <c r="F7" s="61">
        <v>0.4</v>
      </c>
      <c r="G7" s="61">
        <v>0.4</v>
      </c>
      <c r="H7" s="61">
        <v>0.4</v>
      </c>
      <c r="I7" s="61">
        <v>0.4</v>
      </c>
      <c r="J7" s="61">
        <v>0.4</v>
      </c>
      <c r="K7" s="61">
        <v>0.4</v>
      </c>
      <c r="L7" s="61">
        <v>0.4</v>
      </c>
      <c r="M7" s="61">
        <v>0.4</v>
      </c>
      <c r="N7" s="61">
        <v>0.4</v>
      </c>
      <c r="O7" s="61">
        <v>0.4</v>
      </c>
      <c r="P7" s="61">
        <v>0.4</v>
      </c>
      <c r="Q7" s="61">
        <v>0.4</v>
      </c>
      <c r="R7" s="61">
        <v>0.4</v>
      </c>
      <c r="S7" s="61">
        <v>0.4</v>
      </c>
      <c r="T7" s="61">
        <v>0.4</v>
      </c>
      <c r="U7" s="61">
        <v>0.4</v>
      </c>
      <c r="V7" s="61">
        <v>0.4</v>
      </c>
      <c r="W7" s="61">
        <v>0.4</v>
      </c>
    </row>
    <row r="8" spans="2:23" x14ac:dyDescent="0.25">
      <c r="B8" s="55" t="s">
        <v>72</v>
      </c>
      <c r="C8" s="55" t="s">
        <v>73</v>
      </c>
      <c r="D8" s="61">
        <v>0.30149999999999999</v>
      </c>
      <c r="E8" s="61">
        <v>0.30149999999999999</v>
      </c>
      <c r="F8" s="61">
        <v>0.30149999999999999</v>
      </c>
      <c r="G8" s="61">
        <v>0.30149999999999999</v>
      </c>
      <c r="H8" s="61">
        <v>0.30149999999999999</v>
      </c>
      <c r="I8" s="61">
        <v>0.30149999999999999</v>
      </c>
      <c r="J8" s="61">
        <v>0.30149999999999999</v>
      </c>
      <c r="K8" s="61">
        <v>0.30149999999999999</v>
      </c>
      <c r="L8" s="61">
        <v>0.30149999999999999</v>
      </c>
      <c r="M8" s="61">
        <v>0.30149999999999999</v>
      </c>
      <c r="N8" s="61">
        <v>0.30149999999999999</v>
      </c>
      <c r="O8" s="61">
        <v>0.30149999999999999</v>
      </c>
      <c r="P8" s="61">
        <v>0.30149999999999999</v>
      </c>
      <c r="Q8" s="61">
        <v>0.30149999999999999</v>
      </c>
      <c r="R8" s="61">
        <v>0.30149999999999999</v>
      </c>
      <c r="S8" s="61">
        <v>0.30149999999999999</v>
      </c>
      <c r="T8" s="61">
        <v>0.30149999999999999</v>
      </c>
      <c r="U8" s="61">
        <v>0.30149999999999999</v>
      </c>
      <c r="V8" s="61">
        <v>0.30149999999999999</v>
      </c>
      <c r="W8" s="61">
        <v>0.30149999999999999</v>
      </c>
    </row>
    <row r="9" spans="2:23" x14ac:dyDescent="0.25">
      <c r="B9" s="55" t="s">
        <v>74</v>
      </c>
      <c r="C9" s="55" t="s">
        <v>75</v>
      </c>
      <c r="D9" s="61">
        <v>1.524</v>
      </c>
      <c r="E9" s="61">
        <v>1.524</v>
      </c>
      <c r="F9" s="61">
        <v>1.524</v>
      </c>
      <c r="G9" s="61">
        <v>1.524</v>
      </c>
      <c r="H9" s="61">
        <v>1.524</v>
      </c>
      <c r="I9" s="61">
        <v>1.524</v>
      </c>
      <c r="J9" s="61">
        <v>1.524</v>
      </c>
      <c r="K9" s="61">
        <v>1.524</v>
      </c>
      <c r="L9" s="61">
        <v>1.524</v>
      </c>
      <c r="M9" s="61">
        <v>1.524</v>
      </c>
      <c r="N9" s="61">
        <v>1.524</v>
      </c>
      <c r="O9" s="61">
        <v>1.524</v>
      </c>
      <c r="P9" s="61">
        <v>1.524</v>
      </c>
      <c r="Q9" s="61">
        <v>1.524</v>
      </c>
      <c r="R9" s="61">
        <v>1.524</v>
      </c>
      <c r="S9" s="61">
        <v>1.524</v>
      </c>
      <c r="T9" s="61">
        <v>1.524</v>
      </c>
      <c r="U9" s="61">
        <v>1.524</v>
      </c>
      <c r="V9" s="61">
        <v>1.524</v>
      </c>
      <c r="W9" s="61">
        <v>1.524</v>
      </c>
    </row>
    <row r="10" spans="2:23" x14ac:dyDescent="0.25">
      <c r="B10" s="55" t="s">
        <v>74</v>
      </c>
      <c r="C10" s="55" t="s">
        <v>76</v>
      </c>
      <c r="D10" s="61">
        <v>1.3992</v>
      </c>
      <c r="E10" s="61">
        <v>1.3992</v>
      </c>
      <c r="F10" s="61">
        <v>1.3992</v>
      </c>
      <c r="G10" s="61">
        <v>1.3992</v>
      </c>
      <c r="H10" s="61">
        <v>1.3992</v>
      </c>
      <c r="I10" s="61">
        <v>1.3992</v>
      </c>
      <c r="J10" s="61">
        <v>1.3992</v>
      </c>
      <c r="K10" s="61">
        <v>1.3992</v>
      </c>
      <c r="L10" s="61">
        <v>1.3992</v>
      </c>
      <c r="M10" s="61">
        <v>1.3992</v>
      </c>
      <c r="N10" s="61">
        <v>1.3992</v>
      </c>
      <c r="O10" s="61">
        <v>1.3992</v>
      </c>
      <c r="P10" s="61">
        <v>1.3992</v>
      </c>
      <c r="Q10" s="61">
        <v>1.3992</v>
      </c>
      <c r="R10" s="61">
        <v>1.3992</v>
      </c>
      <c r="S10" s="61">
        <v>1.3992</v>
      </c>
      <c r="T10" s="61">
        <v>1.3992</v>
      </c>
      <c r="U10" s="61">
        <v>1.3992</v>
      </c>
      <c r="V10" s="61">
        <v>1.3992</v>
      </c>
      <c r="W10" s="61">
        <v>1.3992</v>
      </c>
    </row>
    <row r="11" spans="2:23" x14ac:dyDescent="0.25">
      <c r="B11" s="55" t="s">
        <v>77</v>
      </c>
      <c r="C11" s="55" t="s">
        <v>73</v>
      </c>
      <c r="D11" s="61">
        <v>0.1736</v>
      </c>
      <c r="E11" s="61">
        <v>0.1736</v>
      </c>
      <c r="F11" s="61">
        <v>0.1736</v>
      </c>
      <c r="G11" s="61">
        <v>0.1736</v>
      </c>
      <c r="H11" s="61">
        <v>0.1736</v>
      </c>
      <c r="I11" s="61">
        <v>0.1736</v>
      </c>
      <c r="J11" s="61">
        <v>0.1736</v>
      </c>
      <c r="K11" s="61">
        <v>0.1736</v>
      </c>
      <c r="L11" s="61">
        <v>0.1736</v>
      </c>
      <c r="M11" s="61">
        <v>0.1736</v>
      </c>
      <c r="N11" s="61">
        <v>0.1736</v>
      </c>
      <c r="O11" s="61">
        <v>0.1736</v>
      </c>
      <c r="P11" s="61">
        <v>0.1736</v>
      </c>
      <c r="Q11" s="61">
        <v>0.1736</v>
      </c>
      <c r="R11" s="61">
        <v>0.1736</v>
      </c>
      <c r="S11" s="61">
        <v>0.1736</v>
      </c>
      <c r="T11" s="61">
        <v>0.1736</v>
      </c>
      <c r="U11" s="61">
        <v>0.1736</v>
      </c>
      <c r="V11" s="61">
        <v>0.1736</v>
      </c>
      <c r="W11" s="61">
        <v>0.1736</v>
      </c>
    </row>
    <row r="12" spans="2:23" x14ac:dyDescent="0.25">
      <c r="B12" s="55" t="s">
        <v>97</v>
      </c>
      <c r="C12" s="55" t="s">
        <v>73</v>
      </c>
      <c r="D12" s="61">
        <v>0.69650000000000001</v>
      </c>
      <c r="E12" s="61">
        <v>0.69650000000000001</v>
      </c>
      <c r="F12" s="61">
        <v>0.69650000000000001</v>
      </c>
      <c r="G12" s="61">
        <v>0.69650000000000001</v>
      </c>
      <c r="H12" s="61">
        <v>0.69650000000000001</v>
      </c>
      <c r="I12" s="61">
        <v>0.69650000000000001</v>
      </c>
      <c r="J12" s="61">
        <v>0.69650000000000001</v>
      </c>
      <c r="K12" s="61">
        <v>0.69650000000000001</v>
      </c>
      <c r="L12" s="61">
        <v>0.69650000000000001</v>
      </c>
      <c r="M12" s="61">
        <v>0.69650000000000001</v>
      </c>
      <c r="N12" s="61">
        <v>0.69650000000000001</v>
      </c>
      <c r="O12" s="61">
        <v>0.69650000000000001</v>
      </c>
      <c r="P12" s="61">
        <v>0.69650000000000001</v>
      </c>
      <c r="Q12" s="61">
        <v>0.69650000000000001</v>
      </c>
      <c r="R12" s="61">
        <v>0.69650000000000001</v>
      </c>
      <c r="S12" s="61">
        <v>0.69650000000000001</v>
      </c>
      <c r="T12" s="61">
        <v>0.69650000000000001</v>
      </c>
      <c r="U12" s="61">
        <v>0.69650000000000001</v>
      </c>
      <c r="V12" s="61">
        <v>0.69650000000000001</v>
      </c>
      <c r="W12" s="61">
        <v>0.69650000000000001</v>
      </c>
    </row>
    <row r="13" spans="2:23" x14ac:dyDescent="0.25">
      <c r="B13" s="55" t="s">
        <v>78</v>
      </c>
      <c r="C13" s="55" t="s">
        <v>75</v>
      </c>
      <c r="D13" s="61">
        <v>1.5841000000000001</v>
      </c>
      <c r="E13" s="61">
        <v>1.5841000000000001</v>
      </c>
      <c r="F13" s="61">
        <v>1.5841000000000001</v>
      </c>
      <c r="G13" s="61">
        <v>1.5841000000000001</v>
      </c>
      <c r="H13" s="61">
        <v>1.5841000000000001</v>
      </c>
      <c r="I13" s="61">
        <v>1.5841000000000001</v>
      </c>
      <c r="J13" s="61">
        <v>1.5841000000000001</v>
      </c>
      <c r="K13" s="61">
        <v>1.5841000000000001</v>
      </c>
      <c r="L13" s="61">
        <v>1.5841000000000001</v>
      </c>
      <c r="M13" s="61">
        <v>1.5841000000000001</v>
      </c>
      <c r="N13" s="61">
        <v>1.5841000000000001</v>
      </c>
      <c r="O13" s="61">
        <v>1.5841000000000001</v>
      </c>
      <c r="P13" s="61">
        <v>1.5841000000000001</v>
      </c>
      <c r="Q13" s="61">
        <v>1.5841000000000001</v>
      </c>
      <c r="R13" s="61">
        <v>1.5841000000000001</v>
      </c>
      <c r="S13" s="61">
        <v>1.5841000000000001</v>
      </c>
      <c r="T13" s="61">
        <v>1.5841000000000001</v>
      </c>
      <c r="U13" s="61">
        <v>1.5841000000000001</v>
      </c>
      <c r="V13" s="61">
        <v>1.5841000000000001</v>
      </c>
      <c r="W13" s="61">
        <v>1.5841000000000001</v>
      </c>
    </row>
    <row r="14" spans="2:23" x14ac:dyDescent="0.25">
      <c r="B14" s="55" t="s">
        <v>80</v>
      </c>
      <c r="C14" s="55" t="s">
        <v>73</v>
      </c>
      <c r="D14" s="61">
        <v>0.97399999999999998</v>
      </c>
      <c r="E14" s="61">
        <v>0.97399999999999998</v>
      </c>
      <c r="F14" s="61">
        <v>0.97399999999999998</v>
      </c>
      <c r="G14" s="61">
        <v>0.97399999999999998</v>
      </c>
      <c r="H14" s="61">
        <v>0.97399999999999998</v>
      </c>
      <c r="I14" s="61">
        <v>0.97399999999999998</v>
      </c>
      <c r="J14" s="61">
        <v>0.97399999999999998</v>
      </c>
      <c r="K14" s="61">
        <v>0.97399999999999998</v>
      </c>
      <c r="L14" s="61">
        <v>0.97399999999999998</v>
      </c>
      <c r="M14" s="61">
        <v>0.97399999999999998</v>
      </c>
      <c r="N14" s="61">
        <v>0.97399999999999998</v>
      </c>
      <c r="O14" s="61">
        <v>0.97399999999999998</v>
      </c>
      <c r="P14" s="61">
        <v>0.97399999999999998</v>
      </c>
      <c r="Q14" s="61">
        <v>0.97399999999999998</v>
      </c>
      <c r="R14" s="61">
        <v>0.97399999999999998</v>
      </c>
      <c r="S14" s="61">
        <v>0.97399999999999998</v>
      </c>
      <c r="T14" s="61">
        <v>0.97399999999999998</v>
      </c>
      <c r="U14" s="61">
        <v>0.97399999999999998</v>
      </c>
      <c r="V14" s="61">
        <v>0.97399999999999998</v>
      </c>
      <c r="W14" s="61">
        <v>0.97399999999999998</v>
      </c>
    </row>
    <row r="15" spans="2:23" x14ac:dyDescent="0.25">
      <c r="B15" s="55" t="s">
        <v>81</v>
      </c>
      <c r="C15" s="55" t="s">
        <v>73</v>
      </c>
      <c r="D15" s="61">
        <v>1.3992</v>
      </c>
      <c r="E15" s="61">
        <v>1.3992</v>
      </c>
      <c r="F15" s="61">
        <v>1.3992</v>
      </c>
      <c r="G15" s="61">
        <v>1.3992</v>
      </c>
      <c r="H15" s="61">
        <v>1.3992</v>
      </c>
      <c r="I15" s="61">
        <v>1.3992</v>
      </c>
      <c r="J15" s="61">
        <v>1.3992</v>
      </c>
      <c r="K15" s="61">
        <v>1.3992</v>
      </c>
      <c r="L15" s="61">
        <v>1.3992</v>
      </c>
      <c r="M15" s="61">
        <v>1.3992</v>
      </c>
      <c r="N15" s="61">
        <v>1.3992</v>
      </c>
      <c r="O15" s="61">
        <v>1.3992</v>
      </c>
      <c r="P15" s="61">
        <v>1.3992</v>
      </c>
      <c r="Q15" s="61">
        <v>1.3992</v>
      </c>
      <c r="R15" s="61">
        <v>1.3992</v>
      </c>
      <c r="S15" s="61">
        <v>1.3992</v>
      </c>
      <c r="T15" s="61">
        <v>1.3992</v>
      </c>
      <c r="U15" s="61">
        <v>1.3992</v>
      </c>
      <c r="V15" s="61">
        <v>1.3992</v>
      </c>
      <c r="W15" s="61">
        <v>1.3992</v>
      </c>
    </row>
    <row r="16" spans="2:23" ht="16.5" customHeight="1" x14ac:dyDescent="0.25">
      <c r="B16" s="55" t="s">
        <v>82</v>
      </c>
      <c r="C16" s="55" t="s">
        <v>83</v>
      </c>
      <c r="D16" s="61">
        <v>1.8308</v>
      </c>
      <c r="E16" s="61">
        <v>1.8308</v>
      </c>
      <c r="F16" s="61">
        <v>1.8308</v>
      </c>
      <c r="G16" s="61">
        <v>1.8308</v>
      </c>
      <c r="H16" s="61">
        <v>1.8308</v>
      </c>
      <c r="I16" s="61">
        <v>1.8308</v>
      </c>
      <c r="J16" s="61">
        <v>1.8308</v>
      </c>
      <c r="K16" s="61">
        <v>1.8308</v>
      </c>
      <c r="L16" s="61">
        <v>1.8308</v>
      </c>
      <c r="M16" s="61">
        <v>1.8308</v>
      </c>
      <c r="N16" s="61">
        <v>1.8308</v>
      </c>
      <c r="O16" s="61">
        <v>1.8308</v>
      </c>
      <c r="P16" s="61">
        <v>1.8308</v>
      </c>
      <c r="Q16" s="61">
        <v>1.8308</v>
      </c>
      <c r="R16" s="61">
        <v>1.8308</v>
      </c>
      <c r="S16" s="61">
        <v>1.8308</v>
      </c>
      <c r="T16" s="61">
        <v>1.8308</v>
      </c>
      <c r="U16" s="61">
        <v>1.8308</v>
      </c>
      <c r="V16" s="61">
        <v>1.8308</v>
      </c>
      <c r="W16" s="61">
        <v>1.8308</v>
      </c>
    </row>
    <row r="17" spans="2:23" x14ac:dyDescent="0.25">
      <c r="B17" s="55" t="s">
        <v>84</v>
      </c>
      <c r="C17" s="55" t="s">
        <v>75</v>
      </c>
      <c r="D17" s="61">
        <v>2.0871</v>
      </c>
      <c r="E17" s="61">
        <v>2.0871</v>
      </c>
      <c r="F17" s="61">
        <v>2.0871</v>
      </c>
      <c r="G17" s="61">
        <v>2.0871</v>
      </c>
      <c r="H17" s="61">
        <v>2.0871</v>
      </c>
      <c r="I17" s="61">
        <v>2.0871</v>
      </c>
      <c r="J17" s="61">
        <v>2.0871</v>
      </c>
      <c r="K17" s="61">
        <v>2.0871</v>
      </c>
      <c r="L17" s="61">
        <v>2.0871</v>
      </c>
      <c r="M17" s="61">
        <v>2.0871</v>
      </c>
      <c r="N17" s="61">
        <v>2.0871</v>
      </c>
      <c r="O17" s="61">
        <v>2.0871</v>
      </c>
      <c r="P17" s="61">
        <v>2.0871</v>
      </c>
      <c r="Q17" s="61">
        <v>2.0871</v>
      </c>
      <c r="R17" s="61">
        <v>2.0871</v>
      </c>
      <c r="S17" s="61">
        <v>2.0871</v>
      </c>
      <c r="T17" s="61">
        <v>2.0871</v>
      </c>
      <c r="U17" s="61">
        <v>2.0871</v>
      </c>
      <c r="V17" s="61">
        <v>2.0871</v>
      </c>
      <c r="W17" s="61">
        <v>2.0871</v>
      </c>
    </row>
    <row r="18" spans="2:23" x14ac:dyDescent="0.25">
      <c r="B18" s="55" t="s">
        <v>85</v>
      </c>
      <c r="C18" s="55" t="s">
        <v>75</v>
      </c>
      <c r="D18" s="61">
        <v>1.2532000000000001</v>
      </c>
      <c r="E18" s="61">
        <v>1.2532000000000001</v>
      </c>
      <c r="F18" s="61">
        <v>1.2532000000000001</v>
      </c>
      <c r="G18" s="61">
        <v>1.2532000000000001</v>
      </c>
      <c r="H18" s="61">
        <v>1.2532000000000001</v>
      </c>
      <c r="I18" s="61">
        <v>1.2532000000000001</v>
      </c>
      <c r="J18" s="61">
        <v>1.2532000000000001</v>
      </c>
      <c r="K18" s="61">
        <v>1.2532000000000001</v>
      </c>
      <c r="L18" s="61">
        <v>1.2532000000000001</v>
      </c>
      <c r="M18" s="61">
        <v>1.2532000000000001</v>
      </c>
      <c r="N18" s="61">
        <v>1.2532000000000001</v>
      </c>
      <c r="O18" s="61">
        <v>1.2532000000000001</v>
      </c>
      <c r="P18" s="61">
        <v>1.2532000000000001</v>
      </c>
      <c r="Q18" s="61">
        <v>1.2532000000000001</v>
      </c>
      <c r="R18" s="61">
        <v>1.2532000000000001</v>
      </c>
      <c r="S18" s="61">
        <v>1.2532000000000001</v>
      </c>
      <c r="T18" s="61">
        <v>1.2532000000000001</v>
      </c>
      <c r="U18" s="61">
        <v>1.2532000000000001</v>
      </c>
      <c r="V18" s="61">
        <v>1.2532000000000001</v>
      </c>
      <c r="W18" s="61">
        <v>1.2532000000000001</v>
      </c>
    </row>
    <row r="19" spans="2:23" x14ac:dyDescent="0.25">
      <c r="B19" s="55" t="s">
        <v>85</v>
      </c>
      <c r="C19" s="55" t="s">
        <v>76</v>
      </c>
      <c r="D19" s="61">
        <v>0.35909999999999997</v>
      </c>
      <c r="E19" s="61">
        <v>0.35909999999999997</v>
      </c>
      <c r="F19" s="61">
        <v>0.35909999999999997</v>
      </c>
      <c r="G19" s="61">
        <v>0.35909999999999997</v>
      </c>
      <c r="H19" s="61">
        <v>0.35909999999999997</v>
      </c>
      <c r="I19" s="61">
        <v>0.35909999999999997</v>
      </c>
      <c r="J19" s="61">
        <v>0.35909999999999997</v>
      </c>
      <c r="K19" s="61">
        <v>0.35909999999999997</v>
      </c>
      <c r="L19" s="61">
        <v>0.35909999999999997</v>
      </c>
      <c r="M19" s="61">
        <v>0.35909999999999997</v>
      </c>
      <c r="N19" s="61">
        <v>0.35909999999999997</v>
      </c>
      <c r="O19" s="61">
        <v>0.35909999999999997</v>
      </c>
      <c r="P19" s="61">
        <v>0.35909999999999997</v>
      </c>
      <c r="Q19" s="61">
        <v>0.35909999999999997</v>
      </c>
      <c r="R19" s="61">
        <v>0.35909999999999997</v>
      </c>
      <c r="S19" s="61">
        <v>0.35909999999999997</v>
      </c>
      <c r="T19" s="61">
        <v>0.35909999999999997</v>
      </c>
      <c r="U19" s="61">
        <v>0.35909999999999997</v>
      </c>
      <c r="V19" s="61">
        <v>0.35909999999999997</v>
      </c>
      <c r="W19" s="61">
        <v>0.35909999999999997</v>
      </c>
    </row>
    <row r="20" spans="2:23" x14ac:dyDescent="0.25">
      <c r="B20" s="55" t="s">
        <v>86</v>
      </c>
      <c r="C20" s="55" t="s">
        <v>73</v>
      </c>
      <c r="D20" s="61">
        <v>0.70050000000000001</v>
      </c>
      <c r="E20" s="61">
        <v>0.70050000000000001</v>
      </c>
      <c r="F20" s="61">
        <v>0.70050000000000001</v>
      </c>
      <c r="G20" s="61">
        <v>0.70050000000000001</v>
      </c>
      <c r="H20" s="61">
        <v>0.70050000000000001</v>
      </c>
      <c r="I20" s="61">
        <v>0.70050000000000001</v>
      </c>
      <c r="J20" s="61">
        <v>0.70050000000000001</v>
      </c>
      <c r="K20" s="61">
        <v>0.70050000000000001</v>
      </c>
      <c r="L20" s="61">
        <v>0.70050000000000001</v>
      </c>
      <c r="M20" s="61">
        <v>0.70050000000000001</v>
      </c>
      <c r="N20" s="61">
        <v>0.70050000000000001</v>
      </c>
      <c r="O20" s="61">
        <v>0.70050000000000001</v>
      </c>
      <c r="P20" s="61">
        <v>0.70050000000000001</v>
      </c>
      <c r="Q20" s="61">
        <v>0.70050000000000001</v>
      </c>
      <c r="R20" s="61">
        <v>0.70050000000000001</v>
      </c>
      <c r="S20" s="61">
        <v>0.70050000000000001</v>
      </c>
      <c r="T20" s="61">
        <v>0.70050000000000001</v>
      </c>
      <c r="U20" s="61">
        <v>0.70050000000000001</v>
      </c>
      <c r="V20" s="61">
        <v>0.70050000000000001</v>
      </c>
      <c r="W20" s="61">
        <v>0.70050000000000001</v>
      </c>
    </row>
    <row r="21" spans="2:23" x14ac:dyDescent="0.25">
      <c r="B21" s="55" t="s">
        <v>87</v>
      </c>
      <c r="C21" s="55" t="s">
        <v>79</v>
      </c>
      <c r="D21" s="61">
        <v>1.103</v>
      </c>
      <c r="E21" s="61">
        <v>1.103</v>
      </c>
      <c r="F21" s="61">
        <v>1.103</v>
      </c>
      <c r="G21" s="61">
        <v>1.103</v>
      </c>
      <c r="H21" s="61">
        <v>1.103</v>
      </c>
      <c r="I21" s="61">
        <v>1.103</v>
      </c>
      <c r="J21" s="61">
        <v>1.103</v>
      </c>
      <c r="K21" s="61">
        <v>1.103</v>
      </c>
      <c r="L21" s="61">
        <v>1.103</v>
      </c>
      <c r="M21" s="61">
        <v>1.103</v>
      </c>
      <c r="N21" s="61">
        <v>1.103</v>
      </c>
      <c r="O21" s="61">
        <v>1.103</v>
      </c>
      <c r="P21" s="61">
        <v>1.103</v>
      </c>
      <c r="Q21" s="61">
        <v>1.103</v>
      </c>
      <c r="R21" s="61">
        <v>1.103</v>
      </c>
      <c r="S21" s="61">
        <v>1.103</v>
      </c>
      <c r="T21" s="61">
        <v>1.103</v>
      </c>
      <c r="U21" s="61">
        <v>1.103</v>
      </c>
      <c r="V21" s="61">
        <v>1.103</v>
      </c>
      <c r="W21" s="61">
        <v>1.103</v>
      </c>
    </row>
    <row r="22" spans="2:23" x14ac:dyDescent="0.25">
      <c r="B22" s="55" t="s">
        <v>88</v>
      </c>
      <c r="C22" s="55" t="s">
        <v>79</v>
      </c>
      <c r="D22" s="61">
        <v>1.5265</v>
      </c>
      <c r="E22" s="61">
        <v>1.5265</v>
      </c>
      <c r="F22" s="61">
        <v>1.5265</v>
      </c>
      <c r="G22" s="61">
        <v>1.5265</v>
      </c>
      <c r="H22" s="61">
        <v>1.5265</v>
      </c>
      <c r="I22" s="61">
        <v>1.5265</v>
      </c>
      <c r="J22" s="61">
        <v>1.5265</v>
      </c>
      <c r="K22" s="61">
        <v>1.5265</v>
      </c>
      <c r="L22" s="61">
        <v>1.5265</v>
      </c>
      <c r="M22" s="61">
        <v>1.5265</v>
      </c>
      <c r="N22" s="61">
        <v>1.5265</v>
      </c>
      <c r="O22" s="61">
        <v>1.5265</v>
      </c>
      <c r="P22" s="61">
        <v>1.5265</v>
      </c>
      <c r="Q22" s="61">
        <v>1.5265</v>
      </c>
      <c r="R22" s="61">
        <v>1.5265</v>
      </c>
      <c r="S22" s="61">
        <v>1.5265</v>
      </c>
      <c r="T22" s="61">
        <v>1.5265</v>
      </c>
      <c r="U22" s="61">
        <v>1.5265</v>
      </c>
      <c r="V22" s="61">
        <v>1.5265</v>
      </c>
      <c r="W22" s="61">
        <v>1.5265</v>
      </c>
    </row>
    <row r="23" spans="2:23" x14ac:dyDescent="0.25">
      <c r="B23" s="55" t="s">
        <v>88</v>
      </c>
      <c r="C23" s="55" t="s">
        <v>89</v>
      </c>
      <c r="D23" s="61">
        <v>1.5265</v>
      </c>
      <c r="E23" s="61">
        <v>1.5265</v>
      </c>
      <c r="F23" s="61">
        <v>1.5265</v>
      </c>
      <c r="G23" s="61">
        <v>1.5265</v>
      </c>
      <c r="H23" s="61">
        <v>1.5265</v>
      </c>
      <c r="I23" s="61">
        <v>1.5265</v>
      </c>
      <c r="J23" s="61">
        <v>1.5265</v>
      </c>
      <c r="K23" s="61">
        <v>1.5265</v>
      </c>
      <c r="L23" s="61">
        <v>1.5265</v>
      </c>
      <c r="M23" s="61">
        <v>1.5265</v>
      </c>
      <c r="N23" s="61">
        <v>1.5265</v>
      </c>
      <c r="O23" s="61">
        <v>1.5265</v>
      </c>
      <c r="P23" s="61">
        <v>1.5265</v>
      </c>
      <c r="Q23" s="61">
        <v>1.5265</v>
      </c>
      <c r="R23" s="61">
        <v>1.5265</v>
      </c>
      <c r="S23" s="61">
        <v>1.5265</v>
      </c>
      <c r="T23" s="61">
        <v>1.5265</v>
      </c>
      <c r="U23" s="61">
        <v>1.5265</v>
      </c>
      <c r="V23" s="61">
        <v>1.5265</v>
      </c>
      <c r="W23" s="61">
        <v>1.5265</v>
      </c>
    </row>
    <row r="24" spans="2:23" x14ac:dyDescent="0.25">
      <c r="B24" s="55" t="s">
        <v>90</v>
      </c>
      <c r="C24" s="55" t="s">
        <v>76</v>
      </c>
      <c r="D24" s="61">
        <v>2.9314</v>
      </c>
      <c r="E24" s="61">
        <v>2.9314</v>
      </c>
      <c r="F24" s="61">
        <v>2.9314</v>
      </c>
      <c r="G24" s="61">
        <v>2.9314</v>
      </c>
      <c r="H24" s="61">
        <v>2.9314</v>
      </c>
      <c r="I24" s="61">
        <v>2.9314</v>
      </c>
      <c r="J24" s="61">
        <v>2.9314</v>
      </c>
      <c r="K24" s="61">
        <v>2.9314</v>
      </c>
      <c r="L24" s="61">
        <v>2.9314</v>
      </c>
      <c r="M24" s="61">
        <v>2.9314</v>
      </c>
      <c r="N24" s="61">
        <v>2.9314</v>
      </c>
      <c r="O24" s="61">
        <v>2.9314</v>
      </c>
      <c r="P24" s="61">
        <v>2.9314</v>
      </c>
      <c r="Q24" s="61">
        <v>2.9314</v>
      </c>
      <c r="R24" s="61">
        <v>2.9314</v>
      </c>
      <c r="S24" s="61">
        <v>2.9314</v>
      </c>
      <c r="T24" s="61">
        <v>2.9314</v>
      </c>
      <c r="U24" s="61">
        <v>2.9314</v>
      </c>
      <c r="V24" s="61">
        <v>2.9314</v>
      </c>
      <c r="W24" s="61">
        <v>2.9314</v>
      </c>
    </row>
    <row r="25" spans="2:23" x14ac:dyDescent="0.25">
      <c r="B25" s="55" t="s">
        <v>91</v>
      </c>
      <c r="C25" s="55" t="s">
        <v>75</v>
      </c>
      <c r="D25" s="61">
        <v>1.4171</v>
      </c>
      <c r="E25" s="61">
        <v>1.4171</v>
      </c>
      <c r="F25" s="61">
        <v>1.4171</v>
      </c>
      <c r="G25" s="61">
        <v>1.4171</v>
      </c>
      <c r="H25" s="61">
        <v>1.4171</v>
      </c>
      <c r="I25" s="61">
        <v>1.4171</v>
      </c>
      <c r="J25" s="61">
        <v>1.4171</v>
      </c>
      <c r="K25" s="61">
        <v>1.4171</v>
      </c>
      <c r="L25" s="61">
        <v>1.4171</v>
      </c>
      <c r="M25" s="61">
        <v>1.4171</v>
      </c>
      <c r="N25" s="61">
        <v>1.4171</v>
      </c>
      <c r="O25" s="61">
        <v>1.4171</v>
      </c>
      <c r="P25" s="61">
        <v>1.4171</v>
      </c>
      <c r="Q25" s="61">
        <v>1.4171</v>
      </c>
      <c r="R25" s="61">
        <v>1.4171</v>
      </c>
      <c r="S25" s="61">
        <v>1.4171</v>
      </c>
      <c r="T25" s="61">
        <v>1.4171</v>
      </c>
      <c r="U25" s="61">
        <v>1.4171</v>
      </c>
      <c r="V25" s="61">
        <v>1.4171</v>
      </c>
      <c r="W25" s="61">
        <v>1.4171</v>
      </c>
    </row>
    <row r="26" spans="2:23" x14ac:dyDescent="0.25">
      <c r="B26" s="73" t="s">
        <v>98</v>
      </c>
    </row>
  </sheetData>
  <mergeCells count="1">
    <mergeCell ref="B3:J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FBA8C40B88A26141AE79C02BAD0D1323" ma:contentTypeVersion="4" ma:contentTypeDescription="" ma:contentTypeScope="" ma:versionID="48f019d8ed3d6a96cbdb9612909131d1">
  <xsd:schema xmlns:xsd="http://www.w3.org/2001/XMLSchema" xmlns:xs="http://www.w3.org/2001/XMLSchema" xmlns:p="http://schemas.microsoft.com/office/2006/metadata/properties" xmlns:ns2="5d1a2284-45bc-4927-a9f9-e51f9f17c21a" targetNamespace="http://schemas.microsoft.com/office/2006/metadata/properties" ma:root="true" ma:fieldsID="a99cfdb438fcd1c1efa441f8a98a332f"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728ada57-c453-4cf5-9f73-c617fa4f9cb4}" ma:internalName="TaxCatchAll" ma:showField="CatchAllData" ma:web="059143f1-dfde-45ce-8f77-3c7898fbc7ef">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728ada57-c453-4cf5-9f73-c617fa4f9cb4}" ma:internalName="TaxCatchAllLabel" ma:readOnly="true" ma:showField="CatchAllDataLabel" ma:web="059143f1-dfde-45ce-8f77-3c7898fbc7ef">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fc36bc6de0bf403e9ed4dec84c72e21e xmlns="5d1a2284-45bc-4927-a9f9-e51f9f17c21a">
      <Terms xmlns="http://schemas.microsoft.com/office/infopath/2007/PartnerControls"/>
    </fc36bc6de0bf403e9ed4dec84c72e21e>
    <TaxKeywordTaxHTField xmlns="5d1a2284-45bc-4927-a9f9-e51f9f17c21a">
      <Terms xmlns="http://schemas.microsoft.com/office/infopath/2007/PartnerControls"/>
    </TaxKeywordTaxHTField>
  </documentManagement>
</p:properties>
</file>

<file path=customXml/itemProps1.xml><?xml version="1.0" encoding="utf-8"?>
<ds:datastoreItem xmlns:ds="http://schemas.openxmlformats.org/officeDocument/2006/customXml" ds:itemID="{9B5F4F12-5FC5-4663-B68B-49922B5F75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007F17-2893-48AD-8770-3974306818C1}">
  <ds:schemaRefs>
    <ds:schemaRef ds:uri="Microsoft.SharePoint.Taxonomy.ContentTypeSync"/>
  </ds:schemaRefs>
</ds:datastoreItem>
</file>

<file path=customXml/itemProps3.xml><?xml version="1.0" encoding="utf-8"?>
<ds:datastoreItem xmlns:ds="http://schemas.openxmlformats.org/officeDocument/2006/customXml" ds:itemID="{3A5B2A59-574D-4E44-9D58-C7332315F30D}">
  <ds:schemaRefs>
    <ds:schemaRef ds:uri="http://schemas.microsoft.com/sharepoint/v3/contenttype/forms"/>
  </ds:schemaRefs>
</ds:datastoreItem>
</file>

<file path=customXml/itemProps4.xml><?xml version="1.0" encoding="utf-8"?>
<ds:datastoreItem xmlns:ds="http://schemas.openxmlformats.org/officeDocument/2006/customXml" ds:itemID="{BD3C95A3-CAA8-4D4C-A309-A4E2DE1E9FAE}">
  <ds:schemaRefs>
    <ds:schemaRef ds:uri="http://schemas.microsoft.com/office/infopath/2007/PartnerControls"/>
    <ds:schemaRef ds:uri="http://purl.org/dc/elements/1.1/"/>
    <ds:schemaRef ds:uri="http://schemas.microsoft.com/office/2006/metadata/properties"/>
    <ds:schemaRef ds:uri="5d1a2284-45bc-4927-a9f9-e51f9f17c21a"/>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 and Overview</vt:lpstr>
      <vt:lpstr>Disclaimer</vt:lpstr>
      <vt:lpstr>Measures, Acronyms &amp; Glossary</vt:lpstr>
      <vt:lpstr>Reserves and Resources</vt:lpstr>
      <vt:lpstr>Production Costs</vt:lpstr>
      <vt:lpstr>Pipeline Transmission Tariffs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Alice McLaren</cp:lastModifiedBy>
  <cp:revision/>
  <dcterms:created xsi:type="dcterms:W3CDTF">2021-03-26T06:46:35Z</dcterms:created>
  <dcterms:modified xsi:type="dcterms:W3CDTF">2026-03-25T05:46:06Z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0x0101002F0B48F8F4F7904196E710056827A09600FBA8C40B88A26141AE79C02BAD0D1323</vt:lpwstr>
  </property>
  <property fmtid="{D5CDD505-2E9C-101B-9397-08002B2CF9AE}" pid="3" name="TaxKeyword">
    <vt:lpwstr/>
  </property>
  <property fmtid="{D5CDD505-2E9C-101B-9397-08002B2CF9AE}" pid="4" name="TaxCatchAll">
    <vt:lpwstr/>
  </property>
  <property fmtid="{D5CDD505-2E9C-101B-9397-08002B2CF9AE}" pid="5" name="TaxKeywordTaxHTField">
    <vt:lpwstr/>
  </property>
  <property fmtid="{D5CDD505-2E9C-101B-9397-08002B2CF9AE}" pid="6" name="Order">
    <vt:lpwstr>634200.000000000</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xd_Signature">
    <vt:lpwstr/>
  </property>
  <property fmtid="{D5CDD505-2E9C-101B-9397-08002B2CF9AE}" pid="13" name="MediaServiceImageTags">
    <vt:lpwstr/>
  </property>
  <property fmtid="{D5CDD505-2E9C-101B-9397-08002B2CF9AE}" pid="14" name="MSIP_Label_c1941c47-a837-430d-8559-fd118a72769e_Enabled">
    <vt:lpwstr>true</vt:lpwstr>
  </property>
  <property fmtid="{D5CDD505-2E9C-101B-9397-08002B2CF9AE}" pid="15" name="MSIP_Label_c1941c47-a837-430d-8559-fd118a72769e_SetDate">
    <vt:lpwstr>2024-02-20T05:51:56Z</vt:lpwstr>
  </property>
  <property fmtid="{D5CDD505-2E9C-101B-9397-08002B2CF9AE}" pid="16" name="MSIP_Label_c1941c47-a837-430d-8559-fd118a72769e_Method">
    <vt:lpwstr>Standard</vt:lpwstr>
  </property>
  <property fmtid="{D5CDD505-2E9C-101B-9397-08002B2CF9AE}" pid="17" name="MSIP_Label_c1941c47-a837-430d-8559-fd118a72769e_Name">
    <vt:lpwstr>Internal</vt:lpwstr>
  </property>
  <property fmtid="{D5CDD505-2E9C-101B-9397-08002B2CF9AE}" pid="18" name="MSIP_Label_c1941c47-a837-430d-8559-fd118a72769e_SiteId">
    <vt:lpwstr>320c999e-3876-4ad0-b401-d241068e9e60</vt:lpwstr>
  </property>
  <property fmtid="{D5CDD505-2E9C-101B-9397-08002B2CF9AE}" pid="19" name="MSIP_Label_c1941c47-a837-430d-8559-fd118a72769e_ActionId">
    <vt:lpwstr>25c65b7b-0d58-4fae-9f06-d1c9adf929e2</vt:lpwstr>
  </property>
  <property fmtid="{D5CDD505-2E9C-101B-9397-08002B2CF9AE}" pid="20" name="MSIP_Label_c1941c47-a837-430d-8559-fd118a72769e_ContentBits">
    <vt:lpwstr>0</vt:lpwstr>
  </property>
  <property fmtid="{D5CDD505-2E9C-101B-9397-08002B2CF9AE}" pid="21" name="lcf76f155ced4ddcb4097134ff3c332f">
    <vt:lpwstr/>
  </property>
  <property fmtid="{D5CDD505-2E9C-101B-9397-08002B2CF9AE}" pid="22" name="AEMO_x0020_Collaboration_x0020_Document_x0020_Type">
    <vt:lpwstr/>
  </property>
  <property fmtid="{D5CDD505-2E9C-101B-9397-08002B2CF9AE}" pid="23" name="AEMO Collaboration Document Type">
    <vt:lpwstr/>
  </property>
</Properties>
</file>